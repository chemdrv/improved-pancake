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ans\Documents\GitHub\improved-pancake\"/>
    </mc:Choice>
  </mc:AlternateContent>
  <xr:revisionPtr revIDLastSave="0" documentId="13_ncr:1_{4B87ED8D-62CD-4886-9D4A-814947939FE2}" xr6:coauthVersionLast="47" xr6:coauthVersionMax="47" xr10:uidLastSave="{00000000-0000-0000-0000-000000000000}"/>
  <bookViews>
    <workbookView xWindow="-110" yWindow="-110" windowWidth="19420" windowHeight="10300" xr2:uid="{3182212F-E385-4EAC-9D8A-BD2F22C8A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1" i="1"/>
  <c r="H272" i="1"/>
  <c r="H271" i="1"/>
  <c r="H270" i="1"/>
  <c r="H269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1" i="1"/>
  <c r="C356" i="1"/>
  <c r="C357" i="1"/>
  <c r="C358" i="1"/>
  <c r="C359" i="1"/>
  <c r="C360" i="1"/>
  <c r="C361" i="1"/>
  <c r="C362" i="1"/>
  <c r="C363" i="1"/>
  <c r="C364" i="1"/>
  <c r="C365" i="1"/>
  <c r="C35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0" fontId="0" fillId="4" borderId="0" xfId="0" applyFill="1"/>
    <xf numFmtId="16" fontId="0" fillId="5" borderId="0" xfId="0" applyNumberFormat="1" applyFill="1"/>
    <xf numFmtId="0" fontId="0" fillId="5" borderId="0" xfId="0" applyFill="1"/>
    <xf numFmtId="16" fontId="0" fillId="6" borderId="0" xfId="0" applyNumberFormat="1" applyFill="1"/>
    <xf numFmtId="0" fontId="0" fillId="6" borderId="0" xfId="0" applyFill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22DD-7814-4B66-BA3B-8E11766B5E83}">
  <dimension ref="A1:H365"/>
  <sheetViews>
    <sheetView tabSelected="1" topLeftCell="A346" workbookViewId="0">
      <selection activeCell="F9" sqref="F9"/>
    </sheetView>
  </sheetViews>
  <sheetFormatPr defaultRowHeight="14"/>
  <cols>
    <col min="5" max="5" width="8.6640625" style="12"/>
  </cols>
  <sheetData>
    <row r="1" spans="1:6">
      <c r="A1" s="1">
        <v>45658</v>
      </c>
      <c r="B1">
        <v>1</v>
      </c>
      <c r="C1">
        <f>B1-355</f>
        <v>-354</v>
      </c>
      <c r="D1">
        <f>C1/365</f>
        <v>-0.96986301369863015</v>
      </c>
      <c r="E1" s="12">
        <v>0.38671875</v>
      </c>
      <c r="F1" s="13">
        <f>E1*13</f>
        <v>5.02734375</v>
      </c>
    </row>
    <row r="2" spans="1:6">
      <c r="A2" s="1">
        <v>45659</v>
      </c>
      <c r="B2">
        <v>2</v>
      </c>
      <c r="C2">
        <f t="shared" ref="C2:C65" si="0">B2-355</f>
        <v>-353</v>
      </c>
      <c r="D2">
        <f t="shared" ref="D2:D65" si="1">C2/365</f>
        <v>-0.9671232876712329</v>
      </c>
      <c r="E2" s="12">
        <v>0.38720703125</v>
      </c>
      <c r="F2" s="13">
        <f t="shared" ref="F2:F65" si="2">E2*13</f>
        <v>5.03369140625</v>
      </c>
    </row>
    <row r="3" spans="1:6">
      <c r="A3" s="1">
        <v>45660</v>
      </c>
      <c r="B3">
        <v>3</v>
      </c>
      <c r="C3">
        <f t="shared" si="0"/>
        <v>-352</v>
      </c>
      <c r="D3">
        <f t="shared" si="1"/>
        <v>-0.96438356164383565</v>
      </c>
      <c r="E3" s="12">
        <v>0.3876953125</v>
      </c>
      <c r="F3" s="13">
        <f t="shared" si="2"/>
        <v>5.0400390625</v>
      </c>
    </row>
    <row r="4" spans="1:6">
      <c r="A4" s="1">
        <v>45661</v>
      </c>
      <c r="B4">
        <v>4</v>
      </c>
      <c r="C4">
        <f t="shared" si="0"/>
        <v>-351</v>
      </c>
      <c r="D4">
        <f t="shared" si="1"/>
        <v>-0.9616438356164384</v>
      </c>
      <c r="E4" s="12">
        <v>0.388671875</v>
      </c>
      <c r="F4" s="13">
        <f t="shared" si="2"/>
        <v>5.052734375</v>
      </c>
    </row>
    <row r="5" spans="1:6">
      <c r="A5" s="1">
        <v>45662</v>
      </c>
      <c r="B5">
        <v>5</v>
      </c>
      <c r="C5">
        <f t="shared" si="0"/>
        <v>-350</v>
      </c>
      <c r="D5">
        <f t="shared" si="1"/>
        <v>-0.95890410958904104</v>
      </c>
      <c r="E5" s="12">
        <v>0.38916015625</v>
      </c>
      <c r="F5" s="13">
        <f t="shared" si="2"/>
        <v>5.05908203125</v>
      </c>
    </row>
    <row r="6" spans="1:6">
      <c r="A6" s="1">
        <v>45663</v>
      </c>
      <c r="B6">
        <v>6</v>
      </c>
      <c r="C6">
        <f t="shared" si="0"/>
        <v>-349</v>
      </c>
      <c r="D6">
        <f t="shared" si="1"/>
        <v>-0.95616438356164379</v>
      </c>
      <c r="E6" s="12">
        <v>0.3896484375</v>
      </c>
      <c r="F6" s="13">
        <f t="shared" si="2"/>
        <v>5.0654296875</v>
      </c>
    </row>
    <row r="7" spans="1:6">
      <c r="A7" s="1">
        <v>45664</v>
      </c>
      <c r="B7">
        <v>7</v>
      </c>
      <c r="C7">
        <f t="shared" si="0"/>
        <v>-348</v>
      </c>
      <c r="D7">
        <f t="shared" si="1"/>
        <v>-0.95342465753424654</v>
      </c>
      <c r="E7" s="12">
        <v>0.390625</v>
      </c>
      <c r="F7" s="13">
        <f t="shared" si="2"/>
        <v>5.078125</v>
      </c>
    </row>
    <row r="8" spans="1:6">
      <c r="A8" s="1">
        <v>45665</v>
      </c>
      <c r="B8">
        <v>8</v>
      </c>
      <c r="C8">
        <f t="shared" si="0"/>
        <v>-347</v>
      </c>
      <c r="D8">
        <f t="shared" si="1"/>
        <v>-0.9506849315068493</v>
      </c>
      <c r="E8" s="12">
        <v>0.39111328125</v>
      </c>
      <c r="F8" s="13">
        <f t="shared" si="2"/>
        <v>5.08447265625</v>
      </c>
    </row>
    <row r="9" spans="1:6">
      <c r="A9" s="1">
        <v>45666</v>
      </c>
      <c r="B9">
        <v>9</v>
      </c>
      <c r="C9">
        <f t="shared" si="0"/>
        <v>-346</v>
      </c>
      <c r="D9">
        <f t="shared" si="1"/>
        <v>-0.94794520547945205</v>
      </c>
      <c r="E9" s="12">
        <v>0.3916015625</v>
      </c>
      <c r="F9" s="13">
        <f t="shared" si="2"/>
        <v>5.0908203125</v>
      </c>
    </row>
    <row r="10" spans="1:6">
      <c r="A10" s="1">
        <v>45667</v>
      </c>
      <c r="B10">
        <v>10</v>
      </c>
      <c r="C10">
        <f t="shared" si="0"/>
        <v>-345</v>
      </c>
      <c r="D10">
        <f t="shared" si="1"/>
        <v>-0.9452054794520548</v>
      </c>
      <c r="E10" s="12">
        <v>0.39306640625</v>
      </c>
      <c r="F10" s="13">
        <f t="shared" si="2"/>
        <v>5.10986328125</v>
      </c>
    </row>
    <row r="11" spans="1:6">
      <c r="A11" s="1">
        <v>45668</v>
      </c>
      <c r="B11">
        <v>11</v>
      </c>
      <c r="C11">
        <f t="shared" si="0"/>
        <v>-344</v>
      </c>
      <c r="D11">
        <f t="shared" si="1"/>
        <v>-0.94246575342465755</v>
      </c>
      <c r="E11" s="12">
        <v>0.3935546875</v>
      </c>
      <c r="F11" s="13">
        <f t="shared" si="2"/>
        <v>5.1162109375</v>
      </c>
    </row>
    <row r="12" spans="1:6">
      <c r="A12" s="1">
        <v>45669</v>
      </c>
      <c r="B12">
        <v>12</v>
      </c>
      <c r="C12">
        <f t="shared" si="0"/>
        <v>-343</v>
      </c>
      <c r="D12">
        <f t="shared" si="1"/>
        <v>-0.9397260273972603</v>
      </c>
      <c r="E12" s="12">
        <v>0.39453125</v>
      </c>
      <c r="F12" s="13">
        <f t="shared" si="2"/>
        <v>5.12890625</v>
      </c>
    </row>
    <row r="13" spans="1:6">
      <c r="A13" s="1">
        <v>45670</v>
      </c>
      <c r="B13">
        <v>13</v>
      </c>
      <c r="C13">
        <f t="shared" si="0"/>
        <v>-342</v>
      </c>
      <c r="D13">
        <f t="shared" si="1"/>
        <v>-0.93698630136986305</v>
      </c>
      <c r="E13" s="12">
        <v>0.3955078125</v>
      </c>
      <c r="F13" s="13">
        <f t="shared" si="2"/>
        <v>5.1416015625</v>
      </c>
    </row>
    <row r="14" spans="1:6">
      <c r="A14" s="1">
        <v>45671</v>
      </c>
      <c r="B14">
        <v>14</v>
      </c>
      <c r="C14">
        <f t="shared" si="0"/>
        <v>-341</v>
      </c>
      <c r="D14">
        <f t="shared" si="1"/>
        <v>-0.9342465753424658</v>
      </c>
      <c r="E14" s="12">
        <v>0.396484375</v>
      </c>
      <c r="F14" s="13">
        <f t="shared" si="2"/>
        <v>5.154296875</v>
      </c>
    </row>
    <row r="15" spans="1:6">
      <c r="A15" s="1">
        <v>45672</v>
      </c>
      <c r="B15">
        <v>15</v>
      </c>
      <c r="C15">
        <f t="shared" si="0"/>
        <v>-340</v>
      </c>
      <c r="D15">
        <f t="shared" si="1"/>
        <v>-0.93150684931506844</v>
      </c>
      <c r="E15" s="12">
        <v>0.39697265625</v>
      </c>
      <c r="F15" s="13">
        <f t="shared" si="2"/>
        <v>5.16064453125</v>
      </c>
    </row>
    <row r="16" spans="1:6">
      <c r="A16" s="1">
        <v>45673</v>
      </c>
      <c r="B16">
        <v>16</v>
      </c>
      <c r="C16">
        <f t="shared" si="0"/>
        <v>-339</v>
      </c>
      <c r="D16">
        <f t="shared" si="1"/>
        <v>-0.92876712328767119</v>
      </c>
      <c r="E16" s="12">
        <v>0.3984375</v>
      </c>
      <c r="F16" s="13">
        <f t="shared" si="2"/>
        <v>5.1796875</v>
      </c>
    </row>
    <row r="17" spans="1:6">
      <c r="A17" s="1">
        <v>45674</v>
      </c>
      <c r="B17">
        <v>17</v>
      </c>
      <c r="C17">
        <f t="shared" si="0"/>
        <v>-338</v>
      </c>
      <c r="D17">
        <f t="shared" si="1"/>
        <v>-0.92602739726027394</v>
      </c>
      <c r="E17" s="12">
        <v>0.3994140625</v>
      </c>
      <c r="F17" s="13">
        <f t="shared" si="2"/>
        <v>5.1923828125</v>
      </c>
    </row>
    <row r="18" spans="1:6">
      <c r="A18" s="1">
        <v>45675</v>
      </c>
      <c r="B18">
        <v>18</v>
      </c>
      <c r="C18">
        <f t="shared" si="0"/>
        <v>-337</v>
      </c>
      <c r="D18">
        <f t="shared" si="1"/>
        <v>-0.92328767123287669</v>
      </c>
      <c r="E18" s="12">
        <v>0.400390625</v>
      </c>
      <c r="F18" s="13">
        <f t="shared" si="2"/>
        <v>5.205078125</v>
      </c>
    </row>
    <row r="19" spans="1:6">
      <c r="A19" s="1">
        <v>45676</v>
      </c>
      <c r="B19">
        <v>19</v>
      </c>
      <c r="C19">
        <f t="shared" si="0"/>
        <v>-336</v>
      </c>
      <c r="D19">
        <f t="shared" si="1"/>
        <v>-0.92054794520547945</v>
      </c>
      <c r="E19" s="12">
        <v>0.40185546875</v>
      </c>
      <c r="F19" s="13">
        <f t="shared" si="2"/>
        <v>5.22412109375</v>
      </c>
    </row>
    <row r="20" spans="1:6">
      <c r="A20" s="1">
        <v>45677</v>
      </c>
      <c r="B20">
        <v>20</v>
      </c>
      <c r="C20">
        <f t="shared" si="0"/>
        <v>-335</v>
      </c>
      <c r="D20">
        <f t="shared" si="1"/>
        <v>-0.9178082191780822</v>
      </c>
      <c r="E20" s="12">
        <v>0.40283203125</v>
      </c>
      <c r="F20" s="13">
        <f t="shared" si="2"/>
        <v>5.23681640625</v>
      </c>
    </row>
    <row r="21" spans="1:6">
      <c r="A21" s="1">
        <v>45678</v>
      </c>
      <c r="B21">
        <v>21</v>
      </c>
      <c r="C21">
        <f t="shared" si="0"/>
        <v>-334</v>
      </c>
      <c r="D21">
        <f t="shared" si="1"/>
        <v>-0.91506849315068495</v>
      </c>
      <c r="E21" s="12">
        <v>0.404296875</v>
      </c>
      <c r="F21" s="13">
        <f t="shared" si="2"/>
        <v>5.255859375</v>
      </c>
    </row>
    <row r="22" spans="1:6">
      <c r="A22" s="1">
        <v>45679</v>
      </c>
      <c r="B22">
        <v>22</v>
      </c>
      <c r="C22">
        <f t="shared" si="0"/>
        <v>-333</v>
      </c>
      <c r="D22">
        <f t="shared" si="1"/>
        <v>-0.9123287671232877</v>
      </c>
      <c r="E22" s="12">
        <v>0.40478515625</v>
      </c>
      <c r="F22" s="13">
        <f t="shared" si="2"/>
        <v>5.26220703125</v>
      </c>
    </row>
    <row r="23" spans="1:6">
      <c r="A23" s="1">
        <v>45680</v>
      </c>
      <c r="B23">
        <v>23</v>
      </c>
      <c r="C23">
        <f t="shared" si="0"/>
        <v>-332</v>
      </c>
      <c r="D23">
        <f t="shared" si="1"/>
        <v>-0.90958904109589045</v>
      </c>
      <c r="E23" s="12">
        <v>0.40625</v>
      </c>
      <c r="F23" s="13">
        <f t="shared" si="2"/>
        <v>5.28125</v>
      </c>
    </row>
    <row r="24" spans="1:6">
      <c r="A24" s="1">
        <v>45681</v>
      </c>
      <c r="B24">
        <v>24</v>
      </c>
      <c r="C24">
        <f t="shared" si="0"/>
        <v>-331</v>
      </c>
      <c r="D24">
        <f t="shared" si="1"/>
        <v>-0.9068493150684932</v>
      </c>
      <c r="E24" s="12">
        <v>0.40771484375</v>
      </c>
      <c r="F24" s="13">
        <f t="shared" si="2"/>
        <v>5.30029296875</v>
      </c>
    </row>
    <row r="25" spans="1:6">
      <c r="A25" s="1">
        <v>45682</v>
      </c>
      <c r="B25">
        <v>25</v>
      </c>
      <c r="C25">
        <f t="shared" si="0"/>
        <v>-330</v>
      </c>
      <c r="D25">
        <f t="shared" si="1"/>
        <v>-0.90410958904109584</v>
      </c>
      <c r="E25" s="12">
        <v>0.40869140625</v>
      </c>
      <c r="F25" s="13">
        <f t="shared" si="2"/>
        <v>5.31298828125</v>
      </c>
    </row>
    <row r="26" spans="1:6">
      <c r="A26" s="1">
        <v>45683</v>
      </c>
      <c r="B26">
        <v>26</v>
      </c>
      <c r="C26">
        <f t="shared" si="0"/>
        <v>-329</v>
      </c>
      <c r="D26">
        <f t="shared" si="1"/>
        <v>-0.90136986301369859</v>
      </c>
      <c r="E26" s="12">
        <v>0.41015625</v>
      </c>
      <c r="F26" s="13">
        <f t="shared" si="2"/>
        <v>5.33203125</v>
      </c>
    </row>
    <row r="27" spans="1:6">
      <c r="A27" s="1">
        <v>45684</v>
      </c>
      <c r="B27">
        <v>27</v>
      </c>
      <c r="C27">
        <f t="shared" si="0"/>
        <v>-328</v>
      </c>
      <c r="D27">
        <f t="shared" si="1"/>
        <v>-0.89863013698630134</v>
      </c>
      <c r="E27" s="12">
        <v>0.41162109375</v>
      </c>
      <c r="F27" s="13">
        <f t="shared" si="2"/>
        <v>5.35107421875</v>
      </c>
    </row>
    <row r="28" spans="1:6">
      <c r="A28" s="1">
        <v>45685</v>
      </c>
      <c r="B28">
        <v>28</v>
      </c>
      <c r="C28">
        <f t="shared" si="0"/>
        <v>-327</v>
      </c>
      <c r="D28">
        <f t="shared" si="1"/>
        <v>-0.89589041095890409</v>
      </c>
      <c r="E28" s="12">
        <v>0.41259765625</v>
      </c>
      <c r="F28" s="13">
        <f t="shared" si="2"/>
        <v>5.36376953125</v>
      </c>
    </row>
    <row r="29" spans="1:6">
      <c r="A29" s="1">
        <v>45686</v>
      </c>
      <c r="B29">
        <v>29</v>
      </c>
      <c r="C29">
        <f t="shared" si="0"/>
        <v>-326</v>
      </c>
      <c r="D29">
        <f t="shared" si="1"/>
        <v>-0.89315068493150684</v>
      </c>
      <c r="E29" s="12">
        <v>0.41455078125</v>
      </c>
      <c r="F29" s="13">
        <f t="shared" si="2"/>
        <v>5.38916015625</v>
      </c>
    </row>
    <row r="30" spans="1:6">
      <c r="A30" s="1">
        <v>45687</v>
      </c>
      <c r="B30">
        <v>30</v>
      </c>
      <c r="C30">
        <f t="shared" si="0"/>
        <v>-325</v>
      </c>
      <c r="D30">
        <f t="shared" si="1"/>
        <v>-0.8904109589041096</v>
      </c>
      <c r="E30" s="12">
        <v>0.416015625</v>
      </c>
      <c r="F30" s="13">
        <f t="shared" si="2"/>
        <v>5.408203125</v>
      </c>
    </row>
    <row r="31" spans="1:6">
      <c r="A31" s="1">
        <v>45688</v>
      </c>
      <c r="B31">
        <v>31</v>
      </c>
      <c r="C31">
        <f t="shared" si="0"/>
        <v>-324</v>
      </c>
      <c r="D31">
        <f t="shared" si="1"/>
        <v>-0.88767123287671235</v>
      </c>
      <c r="E31" s="12">
        <v>0.41748046875</v>
      </c>
      <c r="F31" s="13">
        <f t="shared" si="2"/>
        <v>5.42724609375</v>
      </c>
    </row>
    <row r="32" spans="1:6">
      <c r="A32" s="1">
        <v>45689</v>
      </c>
      <c r="B32">
        <v>32</v>
      </c>
      <c r="C32">
        <f t="shared" si="0"/>
        <v>-323</v>
      </c>
      <c r="D32">
        <f t="shared" si="1"/>
        <v>-0.8849315068493151</v>
      </c>
      <c r="E32" s="12">
        <v>0.41845703125</v>
      </c>
      <c r="F32" s="13">
        <f t="shared" si="2"/>
        <v>5.43994140625</v>
      </c>
    </row>
    <row r="33" spans="1:6">
      <c r="A33" s="1">
        <v>45690</v>
      </c>
      <c r="B33">
        <v>33</v>
      </c>
      <c r="C33">
        <f t="shared" si="0"/>
        <v>-322</v>
      </c>
      <c r="D33">
        <f t="shared" si="1"/>
        <v>-0.88219178082191785</v>
      </c>
      <c r="E33" s="12">
        <v>0.42041015625</v>
      </c>
      <c r="F33" s="13">
        <f t="shared" si="2"/>
        <v>5.46533203125</v>
      </c>
    </row>
    <row r="34" spans="1:6">
      <c r="A34" s="1">
        <v>45691</v>
      </c>
      <c r="B34">
        <v>34</v>
      </c>
      <c r="C34">
        <f t="shared" si="0"/>
        <v>-321</v>
      </c>
      <c r="D34">
        <f t="shared" si="1"/>
        <v>-0.8794520547945206</v>
      </c>
      <c r="E34" s="12">
        <v>0.421875</v>
      </c>
      <c r="F34" s="13">
        <f t="shared" si="2"/>
        <v>5.484375</v>
      </c>
    </row>
    <row r="35" spans="1:6">
      <c r="A35" s="1">
        <v>45692</v>
      </c>
      <c r="B35">
        <v>35</v>
      </c>
      <c r="C35">
        <f t="shared" si="0"/>
        <v>-320</v>
      </c>
      <c r="D35">
        <f t="shared" si="1"/>
        <v>-0.87671232876712324</v>
      </c>
      <c r="E35" s="12">
        <v>0.4228515625</v>
      </c>
      <c r="F35" s="13">
        <f t="shared" si="2"/>
        <v>5.4970703125</v>
      </c>
    </row>
    <row r="36" spans="1:6">
      <c r="A36" s="8">
        <v>45693</v>
      </c>
      <c r="B36" s="9">
        <v>36</v>
      </c>
      <c r="C36" s="9">
        <f t="shared" si="0"/>
        <v>-319</v>
      </c>
      <c r="D36" s="9">
        <f t="shared" si="1"/>
        <v>-0.87397260273972599</v>
      </c>
      <c r="E36" s="12">
        <v>0.4248046875</v>
      </c>
      <c r="F36" s="13">
        <f t="shared" si="2"/>
        <v>5.5224609375</v>
      </c>
    </row>
    <row r="37" spans="1:6">
      <c r="A37" s="1">
        <v>45694</v>
      </c>
      <c r="B37">
        <v>37</v>
      </c>
      <c r="C37">
        <f t="shared" si="0"/>
        <v>-318</v>
      </c>
      <c r="D37">
        <f t="shared" si="1"/>
        <v>-0.87123287671232874</v>
      </c>
      <c r="E37" s="12">
        <v>0.42626953125</v>
      </c>
      <c r="F37" s="13">
        <f t="shared" si="2"/>
        <v>5.54150390625</v>
      </c>
    </row>
    <row r="38" spans="1:6">
      <c r="A38" s="1">
        <v>45695</v>
      </c>
      <c r="B38">
        <v>38</v>
      </c>
      <c r="C38">
        <f t="shared" si="0"/>
        <v>-317</v>
      </c>
      <c r="D38">
        <f t="shared" si="1"/>
        <v>-0.86849315068493149</v>
      </c>
      <c r="E38" s="12">
        <v>0.427734375</v>
      </c>
      <c r="F38" s="13">
        <f t="shared" si="2"/>
        <v>5.560546875</v>
      </c>
    </row>
    <row r="39" spans="1:6">
      <c r="A39" s="1">
        <v>45696</v>
      </c>
      <c r="B39">
        <v>39</v>
      </c>
      <c r="C39">
        <f t="shared" si="0"/>
        <v>-316</v>
      </c>
      <c r="D39">
        <f t="shared" si="1"/>
        <v>-0.86575342465753424</v>
      </c>
      <c r="E39" s="12">
        <v>0.42919921875</v>
      </c>
      <c r="F39" s="13">
        <f t="shared" si="2"/>
        <v>5.57958984375</v>
      </c>
    </row>
    <row r="40" spans="1:6">
      <c r="A40" s="1">
        <v>45697</v>
      </c>
      <c r="B40">
        <v>40</v>
      </c>
      <c r="C40">
        <f t="shared" si="0"/>
        <v>-315</v>
      </c>
      <c r="D40">
        <f t="shared" si="1"/>
        <v>-0.86301369863013699</v>
      </c>
      <c r="E40" s="12">
        <v>0.43115234375</v>
      </c>
      <c r="F40" s="13">
        <f t="shared" si="2"/>
        <v>5.60498046875</v>
      </c>
    </row>
    <row r="41" spans="1:6">
      <c r="A41" s="1">
        <v>45698</v>
      </c>
      <c r="B41">
        <v>41</v>
      </c>
      <c r="C41">
        <f t="shared" si="0"/>
        <v>-314</v>
      </c>
      <c r="D41">
        <f t="shared" si="1"/>
        <v>-0.86027397260273974</v>
      </c>
      <c r="E41" s="12">
        <v>0.43212890625</v>
      </c>
      <c r="F41" s="13">
        <f t="shared" si="2"/>
        <v>5.61767578125</v>
      </c>
    </row>
    <row r="42" spans="1:6">
      <c r="A42" s="1">
        <v>45699</v>
      </c>
      <c r="B42">
        <v>42</v>
      </c>
      <c r="C42">
        <f t="shared" si="0"/>
        <v>-313</v>
      </c>
      <c r="D42">
        <f t="shared" si="1"/>
        <v>-0.8575342465753425</v>
      </c>
      <c r="E42" s="12">
        <v>0.43408203125</v>
      </c>
      <c r="F42" s="13">
        <f t="shared" si="2"/>
        <v>5.64306640625</v>
      </c>
    </row>
    <row r="43" spans="1:6">
      <c r="A43" s="1">
        <v>45700</v>
      </c>
      <c r="B43">
        <v>43</v>
      </c>
      <c r="C43">
        <f t="shared" si="0"/>
        <v>-312</v>
      </c>
      <c r="D43">
        <f t="shared" si="1"/>
        <v>-0.85479452054794525</v>
      </c>
      <c r="E43" s="12">
        <v>0.43603515625</v>
      </c>
      <c r="F43" s="13">
        <f t="shared" si="2"/>
        <v>5.66845703125</v>
      </c>
    </row>
    <row r="44" spans="1:6">
      <c r="A44" s="1">
        <v>45701</v>
      </c>
      <c r="B44">
        <v>44</v>
      </c>
      <c r="C44">
        <f t="shared" si="0"/>
        <v>-311</v>
      </c>
      <c r="D44">
        <f t="shared" si="1"/>
        <v>-0.852054794520548</v>
      </c>
      <c r="E44" s="12">
        <v>0.43701171875</v>
      </c>
      <c r="F44" s="13">
        <f t="shared" si="2"/>
        <v>5.68115234375</v>
      </c>
    </row>
    <row r="45" spans="1:6">
      <c r="A45" s="1">
        <v>45702</v>
      </c>
      <c r="B45">
        <v>45</v>
      </c>
      <c r="C45">
        <f t="shared" si="0"/>
        <v>-310</v>
      </c>
      <c r="D45">
        <f t="shared" si="1"/>
        <v>-0.84931506849315064</v>
      </c>
      <c r="E45" s="12">
        <v>0.43896484375</v>
      </c>
      <c r="F45" s="13">
        <f t="shared" si="2"/>
        <v>5.70654296875</v>
      </c>
    </row>
    <row r="46" spans="1:6">
      <c r="A46" s="1">
        <v>45703</v>
      </c>
      <c r="B46">
        <v>46</v>
      </c>
      <c r="C46">
        <f t="shared" si="0"/>
        <v>-309</v>
      </c>
      <c r="D46">
        <f t="shared" si="1"/>
        <v>-0.84657534246575339</v>
      </c>
      <c r="E46" s="12">
        <v>0.44091796875</v>
      </c>
      <c r="F46" s="13">
        <f t="shared" si="2"/>
        <v>5.73193359375</v>
      </c>
    </row>
    <row r="47" spans="1:6">
      <c r="A47" s="1">
        <v>45704</v>
      </c>
      <c r="B47">
        <v>47</v>
      </c>
      <c r="C47">
        <f t="shared" si="0"/>
        <v>-308</v>
      </c>
      <c r="D47">
        <f t="shared" si="1"/>
        <v>-0.84383561643835614</v>
      </c>
      <c r="E47" s="12">
        <v>0.4423828125</v>
      </c>
      <c r="F47" s="13">
        <f t="shared" si="2"/>
        <v>5.7509765625</v>
      </c>
    </row>
    <row r="48" spans="1:6">
      <c r="A48" s="1">
        <v>45705</v>
      </c>
      <c r="B48">
        <v>48</v>
      </c>
      <c r="C48">
        <f t="shared" si="0"/>
        <v>-307</v>
      </c>
      <c r="D48">
        <f t="shared" si="1"/>
        <v>-0.84109589041095889</v>
      </c>
      <c r="E48" s="12">
        <v>0.4443359375</v>
      </c>
      <c r="F48" s="13">
        <f t="shared" si="2"/>
        <v>5.7763671875</v>
      </c>
    </row>
    <row r="49" spans="1:6">
      <c r="A49" s="1">
        <v>45706</v>
      </c>
      <c r="B49">
        <v>49</v>
      </c>
      <c r="C49">
        <f t="shared" si="0"/>
        <v>-306</v>
      </c>
      <c r="D49">
        <f t="shared" si="1"/>
        <v>-0.83835616438356164</v>
      </c>
      <c r="E49" s="12">
        <v>0.44580078125</v>
      </c>
      <c r="F49" s="13">
        <f t="shared" si="2"/>
        <v>5.79541015625</v>
      </c>
    </row>
    <row r="50" spans="1:6">
      <c r="A50" s="1">
        <v>45707</v>
      </c>
      <c r="B50">
        <v>50</v>
      </c>
      <c r="C50">
        <f t="shared" si="0"/>
        <v>-305</v>
      </c>
      <c r="D50">
        <f t="shared" si="1"/>
        <v>-0.83561643835616439</v>
      </c>
      <c r="E50" s="12">
        <v>0.447265625</v>
      </c>
      <c r="F50" s="13">
        <f t="shared" si="2"/>
        <v>5.814453125</v>
      </c>
    </row>
    <row r="51" spans="1:6">
      <c r="A51" s="1">
        <v>45708</v>
      </c>
      <c r="B51">
        <v>51</v>
      </c>
      <c r="C51">
        <f t="shared" si="0"/>
        <v>-304</v>
      </c>
      <c r="D51">
        <f t="shared" si="1"/>
        <v>-0.83287671232876714</v>
      </c>
      <c r="E51" s="12">
        <v>0.44921875</v>
      </c>
      <c r="F51" s="13">
        <f t="shared" si="2"/>
        <v>5.83984375</v>
      </c>
    </row>
    <row r="52" spans="1:6">
      <c r="A52" s="1">
        <v>45709</v>
      </c>
      <c r="B52">
        <v>52</v>
      </c>
      <c r="C52">
        <f t="shared" si="0"/>
        <v>-303</v>
      </c>
      <c r="D52">
        <f t="shared" si="1"/>
        <v>-0.83013698630136989</v>
      </c>
      <c r="E52" s="12">
        <v>0.45068359375</v>
      </c>
      <c r="F52" s="13">
        <f t="shared" si="2"/>
        <v>5.85888671875</v>
      </c>
    </row>
    <row r="53" spans="1:6">
      <c r="A53" s="1">
        <v>45710</v>
      </c>
      <c r="B53">
        <v>53</v>
      </c>
      <c r="C53">
        <f t="shared" si="0"/>
        <v>-302</v>
      </c>
      <c r="D53">
        <f t="shared" si="1"/>
        <v>-0.82739726027397265</v>
      </c>
      <c r="E53" s="12">
        <v>0.45263671875</v>
      </c>
      <c r="F53" s="13">
        <f t="shared" si="2"/>
        <v>5.88427734375</v>
      </c>
    </row>
    <row r="54" spans="1:6">
      <c r="A54" s="1">
        <v>45711</v>
      </c>
      <c r="B54">
        <v>54</v>
      </c>
      <c r="C54">
        <f t="shared" si="0"/>
        <v>-301</v>
      </c>
      <c r="D54">
        <f t="shared" si="1"/>
        <v>-0.8246575342465754</v>
      </c>
      <c r="E54" s="12">
        <v>0.45458984375</v>
      </c>
      <c r="F54" s="13">
        <f t="shared" si="2"/>
        <v>5.90966796875</v>
      </c>
    </row>
    <row r="55" spans="1:6">
      <c r="A55" s="1">
        <v>45712</v>
      </c>
      <c r="B55">
        <v>55</v>
      </c>
      <c r="C55">
        <f t="shared" si="0"/>
        <v>-300</v>
      </c>
      <c r="D55">
        <f t="shared" si="1"/>
        <v>-0.82191780821917804</v>
      </c>
      <c r="E55" s="12">
        <v>0.4560546875</v>
      </c>
      <c r="F55" s="13">
        <f t="shared" si="2"/>
        <v>5.9287109375</v>
      </c>
    </row>
    <row r="56" spans="1:6">
      <c r="A56" s="1">
        <v>45713</v>
      </c>
      <c r="B56">
        <v>56</v>
      </c>
      <c r="C56">
        <f t="shared" si="0"/>
        <v>-299</v>
      </c>
      <c r="D56">
        <f t="shared" si="1"/>
        <v>-0.81917808219178079</v>
      </c>
      <c r="E56" s="12">
        <v>0.4580078125</v>
      </c>
      <c r="F56" s="13">
        <f t="shared" si="2"/>
        <v>5.9541015625</v>
      </c>
    </row>
    <row r="57" spans="1:6">
      <c r="A57" s="1">
        <v>45714</v>
      </c>
      <c r="B57">
        <v>57</v>
      </c>
      <c r="C57">
        <f t="shared" si="0"/>
        <v>-298</v>
      </c>
      <c r="D57">
        <f t="shared" si="1"/>
        <v>-0.81643835616438354</v>
      </c>
      <c r="E57" s="12">
        <v>0.45947265625</v>
      </c>
      <c r="F57" s="13">
        <f t="shared" si="2"/>
        <v>5.97314453125</v>
      </c>
    </row>
    <row r="58" spans="1:6">
      <c r="A58" s="1">
        <v>45715</v>
      </c>
      <c r="B58">
        <v>58</v>
      </c>
      <c r="C58">
        <f t="shared" si="0"/>
        <v>-297</v>
      </c>
      <c r="D58">
        <f t="shared" si="1"/>
        <v>-0.81369863013698629</v>
      </c>
      <c r="E58" s="12">
        <v>0.46142578125</v>
      </c>
      <c r="F58" s="13">
        <f t="shared" si="2"/>
        <v>5.99853515625</v>
      </c>
    </row>
    <row r="59" spans="1:6">
      <c r="A59" s="1">
        <v>45716</v>
      </c>
      <c r="B59">
        <v>59</v>
      </c>
      <c r="C59">
        <f t="shared" si="0"/>
        <v>-296</v>
      </c>
      <c r="D59">
        <f t="shared" si="1"/>
        <v>-0.81095890410958904</v>
      </c>
      <c r="E59" s="12">
        <v>0.462890625</v>
      </c>
      <c r="F59" s="13">
        <f t="shared" si="2"/>
        <v>6.017578125</v>
      </c>
    </row>
    <row r="60" spans="1:6">
      <c r="A60" s="1">
        <v>45717</v>
      </c>
      <c r="B60">
        <v>60</v>
      </c>
      <c r="C60">
        <f t="shared" si="0"/>
        <v>-295</v>
      </c>
      <c r="D60">
        <f t="shared" si="1"/>
        <v>-0.80821917808219179</v>
      </c>
      <c r="E60" s="12">
        <v>0.46484375</v>
      </c>
      <c r="F60" s="13">
        <f t="shared" si="2"/>
        <v>6.04296875</v>
      </c>
    </row>
    <row r="61" spans="1:6">
      <c r="A61" s="1">
        <v>45718</v>
      </c>
      <c r="B61">
        <v>61</v>
      </c>
      <c r="C61">
        <f t="shared" si="0"/>
        <v>-294</v>
      </c>
      <c r="D61">
        <f t="shared" si="1"/>
        <v>-0.80547945205479454</v>
      </c>
      <c r="E61" s="12">
        <v>0.46630859375</v>
      </c>
      <c r="F61" s="13">
        <f t="shared" si="2"/>
        <v>6.06201171875</v>
      </c>
    </row>
    <row r="62" spans="1:6">
      <c r="A62" s="1">
        <v>45719</v>
      </c>
      <c r="B62">
        <v>62</v>
      </c>
      <c r="C62">
        <f t="shared" si="0"/>
        <v>-293</v>
      </c>
      <c r="D62">
        <f t="shared" si="1"/>
        <v>-0.80273972602739729</v>
      </c>
      <c r="E62" s="12">
        <v>0.46826171875</v>
      </c>
      <c r="F62" s="13">
        <f t="shared" si="2"/>
        <v>6.08740234375</v>
      </c>
    </row>
    <row r="63" spans="1:6">
      <c r="A63" s="1">
        <v>45720</v>
      </c>
      <c r="B63">
        <v>63</v>
      </c>
      <c r="C63">
        <f t="shared" si="0"/>
        <v>-292</v>
      </c>
      <c r="D63">
        <f t="shared" si="1"/>
        <v>-0.8</v>
      </c>
      <c r="E63" s="12">
        <v>0.47021484375</v>
      </c>
      <c r="F63" s="13">
        <f t="shared" si="2"/>
        <v>6.11279296875</v>
      </c>
    </row>
    <row r="64" spans="1:6">
      <c r="A64" s="1">
        <v>45721</v>
      </c>
      <c r="B64">
        <v>64</v>
      </c>
      <c r="C64">
        <f t="shared" si="0"/>
        <v>-291</v>
      </c>
      <c r="D64">
        <f t="shared" si="1"/>
        <v>-0.79726027397260268</v>
      </c>
      <c r="E64" s="12">
        <v>0.47216796875</v>
      </c>
      <c r="F64" s="13">
        <f t="shared" si="2"/>
        <v>6.13818359375</v>
      </c>
    </row>
    <row r="65" spans="1:6">
      <c r="A65" s="1">
        <v>45722</v>
      </c>
      <c r="B65">
        <v>65</v>
      </c>
      <c r="C65">
        <f t="shared" si="0"/>
        <v>-290</v>
      </c>
      <c r="D65">
        <f t="shared" si="1"/>
        <v>-0.79452054794520544</v>
      </c>
      <c r="E65" s="12">
        <v>0.47412109375</v>
      </c>
      <c r="F65" s="13">
        <f t="shared" si="2"/>
        <v>6.16357421875</v>
      </c>
    </row>
    <row r="66" spans="1:6">
      <c r="A66" s="1">
        <v>45723</v>
      </c>
      <c r="B66">
        <v>66</v>
      </c>
      <c r="C66">
        <f t="shared" ref="C66:C129" si="3">B66-355</f>
        <v>-289</v>
      </c>
      <c r="D66">
        <f t="shared" ref="D66:D129" si="4">C66/365</f>
        <v>-0.79178082191780819</v>
      </c>
      <c r="E66" s="12">
        <v>0.4755859375</v>
      </c>
      <c r="F66" s="13">
        <f t="shared" ref="F66:F129" si="5">E66*13</f>
        <v>6.1826171875</v>
      </c>
    </row>
    <row r="67" spans="1:6">
      <c r="A67" s="1">
        <v>45724</v>
      </c>
      <c r="B67">
        <v>67</v>
      </c>
      <c r="C67">
        <f t="shared" si="3"/>
        <v>-288</v>
      </c>
      <c r="D67">
        <f t="shared" si="4"/>
        <v>-0.78904109589041094</v>
      </c>
      <c r="E67" s="12">
        <v>0.4775390625</v>
      </c>
      <c r="F67" s="13">
        <f t="shared" si="5"/>
        <v>6.2080078125</v>
      </c>
    </row>
    <row r="68" spans="1:6">
      <c r="A68" s="1">
        <v>45725</v>
      </c>
      <c r="B68">
        <v>68</v>
      </c>
      <c r="C68">
        <f t="shared" si="3"/>
        <v>-287</v>
      </c>
      <c r="D68">
        <f t="shared" si="4"/>
        <v>-0.78630136986301369</v>
      </c>
      <c r="E68" s="12">
        <v>0.47900390625</v>
      </c>
      <c r="F68" s="13">
        <f t="shared" si="5"/>
        <v>6.22705078125</v>
      </c>
    </row>
    <row r="69" spans="1:6">
      <c r="A69" s="1">
        <v>45726</v>
      </c>
      <c r="B69">
        <v>69</v>
      </c>
      <c r="C69">
        <f t="shared" si="3"/>
        <v>-286</v>
      </c>
      <c r="D69">
        <f t="shared" si="4"/>
        <v>-0.78356164383561644</v>
      </c>
      <c r="E69" s="12">
        <v>0.48095703125</v>
      </c>
      <c r="F69" s="13">
        <f t="shared" si="5"/>
        <v>6.25244140625</v>
      </c>
    </row>
    <row r="70" spans="1:6">
      <c r="A70" s="1">
        <v>45727</v>
      </c>
      <c r="B70">
        <v>70</v>
      </c>
      <c r="C70">
        <f t="shared" si="3"/>
        <v>-285</v>
      </c>
      <c r="D70">
        <f t="shared" si="4"/>
        <v>-0.78082191780821919</v>
      </c>
      <c r="E70" s="12">
        <v>0.48291015625</v>
      </c>
      <c r="F70" s="13">
        <f t="shared" si="5"/>
        <v>6.27783203125</v>
      </c>
    </row>
    <row r="71" spans="1:6">
      <c r="A71" s="1">
        <v>45728</v>
      </c>
      <c r="B71">
        <v>71</v>
      </c>
      <c r="C71">
        <f t="shared" si="3"/>
        <v>-284</v>
      </c>
      <c r="D71">
        <f t="shared" si="4"/>
        <v>-0.77808219178082194</v>
      </c>
      <c r="E71" s="12">
        <v>0.484375</v>
      </c>
      <c r="F71" s="13">
        <f t="shared" si="5"/>
        <v>6.296875</v>
      </c>
    </row>
    <row r="72" spans="1:6">
      <c r="A72" s="1">
        <v>45729</v>
      </c>
      <c r="B72">
        <v>72</v>
      </c>
      <c r="C72">
        <f t="shared" si="3"/>
        <v>-283</v>
      </c>
      <c r="D72">
        <f t="shared" si="4"/>
        <v>-0.77534246575342469</v>
      </c>
      <c r="E72" s="12">
        <v>0.486328125</v>
      </c>
      <c r="F72" s="13">
        <f t="shared" si="5"/>
        <v>6.322265625</v>
      </c>
    </row>
    <row r="73" spans="1:6">
      <c r="A73" s="1">
        <v>45730</v>
      </c>
      <c r="B73">
        <v>73</v>
      </c>
      <c r="C73">
        <f t="shared" si="3"/>
        <v>-282</v>
      </c>
      <c r="D73">
        <f t="shared" si="4"/>
        <v>-0.77260273972602744</v>
      </c>
      <c r="E73" s="12">
        <v>0.48779296875</v>
      </c>
      <c r="F73" s="13">
        <f t="shared" si="5"/>
        <v>6.34130859375</v>
      </c>
    </row>
    <row r="74" spans="1:6">
      <c r="A74" s="1">
        <v>45731</v>
      </c>
      <c r="B74">
        <v>74</v>
      </c>
      <c r="C74">
        <f t="shared" si="3"/>
        <v>-281</v>
      </c>
      <c r="D74">
        <f t="shared" si="4"/>
        <v>-0.76986301369863008</v>
      </c>
      <c r="E74" s="12">
        <v>0.48974609375</v>
      </c>
      <c r="F74" s="13">
        <f t="shared" si="5"/>
        <v>6.36669921875</v>
      </c>
    </row>
    <row r="75" spans="1:6">
      <c r="A75" s="1">
        <v>45732</v>
      </c>
      <c r="B75">
        <v>75</v>
      </c>
      <c r="C75">
        <f t="shared" si="3"/>
        <v>-280</v>
      </c>
      <c r="D75">
        <f t="shared" si="4"/>
        <v>-0.76712328767123283</v>
      </c>
      <c r="E75" s="12">
        <v>0.49169921875</v>
      </c>
      <c r="F75" s="13">
        <f t="shared" si="5"/>
        <v>6.39208984375</v>
      </c>
    </row>
    <row r="76" spans="1:6">
      <c r="A76" s="1">
        <v>45733</v>
      </c>
      <c r="B76">
        <v>76</v>
      </c>
      <c r="C76">
        <f t="shared" si="3"/>
        <v>-279</v>
      </c>
      <c r="D76">
        <f t="shared" si="4"/>
        <v>-0.76438356164383559</v>
      </c>
      <c r="E76" s="12">
        <v>0.49365234375</v>
      </c>
      <c r="F76" s="13">
        <f t="shared" si="5"/>
        <v>6.41748046875</v>
      </c>
    </row>
    <row r="77" spans="1:6">
      <c r="A77" s="1">
        <v>45734</v>
      </c>
      <c r="B77">
        <v>77</v>
      </c>
      <c r="C77">
        <f t="shared" si="3"/>
        <v>-278</v>
      </c>
      <c r="D77">
        <f t="shared" si="4"/>
        <v>-0.76164383561643834</v>
      </c>
      <c r="E77" s="12">
        <v>0.4951171875</v>
      </c>
      <c r="F77" s="13">
        <f t="shared" si="5"/>
        <v>6.4365234375</v>
      </c>
    </row>
    <row r="78" spans="1:6">
      <c r="A78" s="1">
        <v>45735</v>
      </c>
      <c r="B78">
        <v>78</v>
      </c>
      <c r="C78">
        <f t="shared" si="3"/>
        <v>-277</v>
      </c>
      <c r="D78">
        <f t="shared" si="4"/>
        <v>-0.75890410958904109</v>
      </c>
      <c r="E78" s="12">
        <v>0.4970703125</v>
      </c>
      <c r="F78" s="13">
        <f t="shared" si="5"/>
        <v>6.4619140625</v>
      </c>
    </row>
    <row r="79" spans="1:6">
      <c r="A79" s="1">
        <v>45736</v>
      </c>
      <c r="B79">
        <v>79</v>
      </c>
      <c r="C79">
        <f t="shared" si="3"/>
        <v>-276</v>
      </c>
      <c r="D79">
        <f t="shared" si="4"/>
        <v>-0.75616438356164384</v>
      </c>
      <c r="E79" s="12">
        <v>0.4990234375</v>
      </c>
      <c r="F79" s="13">
        <f t="shared" si="5"/>
        <v>6.4873046875</v>
      </c>
    </row>
    <row r="80" spans="1:6">
      <c r="A80" s="1">
        <v>45737</v>
      </c>
      <c r="B80">
        <v>80</v>
      </c>
      <c r="C80">
        <f t="shared" si="3"/>
        <v>-275</v>
      </c>
      <c r="D80">
        <f t="shared" si="4"/>
        <v>-0.75342465753424659</v>
      </c>
      <c r="E80" s="12">
        <v>0.50048828125</v>
      </c>
      <c r="F80" s="13">
        <f t="shared" si="5"/>
        <v>6.50634765625</v>
      </c>
    </row>
    <row r="81" spans="1:6">
      <c r="A81" s="4">
        <v>45738</v>
      </c>
      <c r="B81" s="5">
        <v>81</v>
      </c>
      <c r="C81" s="5">
        <f t="shared" si="3"/>
        <v>-274</v>
      </c>
      <c r="D81" s="5">
        <f t="shared" si="4"/>
        <v>-0.75068493150684934</v>
      </c>
      <c r="E81" s="12">
        <v>0.50244140625</v>
      </c>
      <c r="F81" s="13">
        <f t="shared" si="5"/>
        <v>6.53173828125</v>
      </c>
    </row>
    <row r="82" spans="1:6">
      <c r="A82" s="1">
        <v>45739</v>
      </c>
      <c r="B82">
        <v>82</v>
      </c>
      <c r="C82">
        <f t="shared" si="3"/>
        <v>-273</v>
      </c>
      <c r="D82">
        <f t="shared" si="4"/>
        <v>-0.74794520547945209</v>
      </c>
      <c r="E82" s="12">
        <v>0.50439453125</v>
      </c>
      <c r="F82" s="13">
        <f t="shared" si="5"/>
        <v>6.55712890625</v>
      </c>
    </row>
    <row r="83" spans="1:6">
      <c r="A83" s="1">
        <v>45740</v>
      </c>
      <c r="B83">
        <v>83</v>
      </c>
      <c r="C83">
        <f t="shared" si="3"/>
        <v>-272</v>
      </c>
      <c r="D83">
        <f t="shared" si="4"/>
        <v>-0.74520547945205484</v>
      </c>
      <c r="E83" s="12">
        <v>0.50634765625</v>
      </c>
      <c r="F83" s="13">
        <f t="shared" si="5"/>
        <v>6.58251953125</v>
      </c>
    </row>
    <row r="84" spans="1:6">
      <c r="A84" s="1">
        <v>45741</v>
      </c>
      <c r="B84">
        <v>84</v>
      </c>
      <c r="C84">
        <f t="shared" si="3"/>
        <v>-271</v>
      </c>
      <c r="D84">
        <f t="shared" si="4"/>
        <v>-0.74246575342465748</v>
      </c>
      <c r="E84" s="12">
        <v>0.5078125</v>
      </c>
      <c r="F84" s="13">
        <f t="shared" si="5"/>
        <v>6.6015625</v>
      </c>
    </row>
    <row r="85" spans="1:6">
      <c r="A85" s="1">
        <v>45742</v>
      </c>
      <c r="B85">
        <v>85</v>
      </c>
      <c r="C85">
        <f t="shared" si="3"/>
        <v>-270</v>
      </c>
      <c r="D85">
        <f t="shared" si="4"/>
        <v>-0.73972602739726023</v>
      </c>
      <c r="E85" s="12">
        <v>0.50927734375</v>
      </c>
      <c r="F85" s="13">
        <f t="shared" si="5"/>
        <v>6.62060546875</v>
      </c>
    </row>
    <row r="86" spans="1:6">
      <c r="A86" s="1">
        <v>45743</v>
      </c>
      <c r="B86">
        <v>86</v>
      </c>
      <c r="C86">
        <f t="shared" si="3"/>
        <v>-269</v>
      </c>
      <c r="D86">
        <f t="shared" si="4"/>
        <v>-0.73698630136986298</v>
      </c>
      <c r="E86" s="12">
        <v>0.51171875</v>
      </c>
      <c r="F86" s="13">
        <f t="shared" si="5"/>
        <v>6.65234375</v>
      </c>
    </row>
    <row r="87" spans="1:6">
      <c r="A87" s="1">
        <v>45744</v>
      </c>
      <c r="B87">
        <v>87</v>
      </c>
      <c r="C87">
        <f t="shared" si="3"/>
        <v>-268</v>
      </c>
      <c r="D87">
        <f t="shared" si="4"/>
        <v>-0.73424657534246573</v>
      </c>
      <c r="E87" s="12">
        <v>0.51318359375</v>
      </c>
      <c r="F87" s="13">
        <f t="shared" si="5"/>
        <v>6.67138671875</v>
      </c>
    </row>
    <row r="88" spans="1:6">
      <c r="A88" s="1">
        <v>45745</v>
      </c>
      <c r="B88">
        <v>88</v>
      </c>
      <c r="C88">
        <f t="shared" si="3"/>
        <v>-267</v>
      </c>
      <c r="D88">
        <f t="shared" si="4"/>
        <v>-0.73150684931506849</v>
      </c>
      <c r="E88" s="12">
        <v>0.51513671875</v>
      </c>
      <c r="F88" s="13">
        <f t="shared" si="5"/>
        <v>6.69677734375</v>
      </c>
    </row>
    <row r="89" spans="1:6">
      <c r="A89" s="1">
        <v>45746</v>
      </c>
      <c r="B89">
        <v>89</v>
      </c>
      <c r="C89">
        <f t="shared" si="3"/>
        <v>-266</v>
      </c>
      <c r="D89">
        <f t="shared" si="4"/>
        <v>-0.72876712328767124</v>
      </c>
      <c r="E89" s="12">
        <v>0.5166015625</v>
      </c>
      <c r="F89" s="13">
        <f t="shared" si="5"/>
        <v>6.7158203125</v>
      </c>
    </row>
    <row r="90" spans="1:6">
      <c r="A90" s="1">
        <v>45747</v>
      </c>
      <c r="B90">
        <v>90</v>
      </c>
      <c r="C90">
        <f t="shared" si="3"/>
        <v>-265</v>
      </c>
      <c r="D90">
        <f t="shared" si="4"/>
        <v>-0.72602739726027399</v>
      </c>
      <c r="E90" s="12">
        <v>0.5185546875</v>
      </c>
      <c r="F90" s="13">
        <f t="shared" si="5"/>
        <v>6.7412109375</v>
      </c>
    </row>
    <row r="91" spans="1:6">
      <c r="A91" s="1">
        <v>45748</v>
      </c>
      <c r="B91">
        <v>91</v>
      </c>
      <c r="C91">
        <f t="shared" si="3"/>
        <v>-264</v>
      </c>
      <c r="D91">
        <f t="shared" si="4"/>
        <v>-0.72328767123287674</v>
      </c>
      <c r="E91" s="12">
        <v>0.5205078125</v>
      </c>
      <c r="F91" s="13">
        <f t="shared" si="5"/>
        <v>6.7666015625</v>
      </c>
    </row>
    <row r="92" spans="1:6">
      <c r="A92" s="1">
        <v>45749</v>
      </c>
      <c r="B92">
        <v>92</v>
      </c>
      <c r="C92">
        <f t="shared" si="3"/>
        <v>-263</v>
      </c>
      <c r="D92">
        <f t="shared" si="4"/>
        <v>-0.72054794520547949</v>
      </c>
      <c r="E92" s="12">
        <v>0.52197265625</v>
      </c>
      <c r="F92" s="13">
        <f t="shared" si="5"/>
        <v>6.78564453125</v>
      </c>
    </row>
    <row r="93" spans="1:6">
      <c r="A93" s="1">
        <v>45750</v>
      </c>
      <c r="B93">
        <v>93</v>
      </c>
      <c r="C93">
        <f t="shared" si="3"/>
        <v>-262</v>
      </c>
      <c r="D93">
        <f t="shared" si="4"/>
        <v>-0.71780821917808224</v>
      </c>
      <c r="E93" s="12">
        <v>0.52392578125</v>
      </c>
      <c r="F93" s="13">
        <f t="shared" si="5"/>
        <v>6.81103515625</v>
      </c>
    </row>
    <row r="94" spans="1:6">
      <c r="A94" s="1">
        <v>45751</v>
      </c>
      <c r="B94">
        <v>94</v>
      </c>
      <c r="C94">
        <f t="shared" si="3"/>
        <v>-261</v>
      </c>
      <c r="D94">
        <f t="shared" si="4"/>
        <v>-0.71506849315068488</v>
      </c>
      <c r="E94" s="12">
        <v>0.525390625</v>
      </c>
      <c r="F94" s="13">
        <f t="shared" si="5"/>
        <v>6.830078125</v>
      </c>
    </row>
    <row r="95" spans="1:6">
      <c r="A95" s="1">
        <v>45752</v>
      </c>
      <c r="B95">
        <v>95</v>
      </c>
      <c r="C95">
        <f t="shared" si="3"/>
        <v>-260</v>
      </c>
      <c r="D95">
        <f t="shared" si="4"/>
        <v>-0.71232876712328763</v>
      </c>
      <c r="E95" s="12">
        <v>0.52734375</v>
      </c>
      <c r="F95" s="13">
        <f t="shared" si="5"/>
        <v>6.85546875</v>
      </c>
    </row>
    <row r="96" spans="1:6">
      <c r="A96" s="1">
        <v>45753</v>
      </c>
      <c r="B96">
        <v>96</v>
      </c>
      <c r="C96">
        <f t="shared" si="3"/>
        <v>-259</v>
      </c>
      <c r="D96">
        <f t="shared" si="4"/>
        <v>-0.70958904109589038</v>
      </c>
      <c r="E96" s="12">
        <v>0.529296875</v>
      </c>
      <c r="F96" s="13">
        <f t="shared" si="5"/>
        <v>6.880859375</v>
      </c>
    </row>
    <row r="97" spans="1:6">
      <c r="A97" s="1">
        <v>45754</v>
      </c>
      <c r="B97">
        <v>97</v>
      </c>
      <c r="C97">
        <f t="shared" si="3"/>
        <v>-258</v>
      </c>
      <c r="D97">
        <f t="shared" si="4"/>
        <v>-0.70684931506849313</v>
      </c>
      <c r="E97" s="12">
        <v>0.53076171875</v>
      </c>
      <c r="F97" s="13">
        <f t="shared" si="5"/>
        <v>6.89990234375</v>
      </c>
    </row>
    <row r="98" spans="1:6">
      <c r="A98" s="1">
        <v>45755</v>
      </c>
      <c r="B98">
        <v>98</v>
      </c>
      <c r="C98">
        <f t="shared" si="3"/>
        <v>-257</v>
      </c>
      <c r="D98">
        <f t="shared" si="4"/>
        <v>-0.70410958904109588</v>
      </c>
      <c r="E98" s="12">
        <v>0.53271484375</v>
      </c>
      <c r="F98" s="13">
        <f t="shared" si="5"/>
        <v>6.92529296875</v>
      </c>
    </row>
    <row r="99" spans="1:6">
      <c r="A99" s="1">
        <v>45756</v>
      </c>
      <c r="B99">
        <v>99</v>
      </c>
      <c r="C99">
        <f t="shared" si="3"/>
        <v>-256</v>
      </c>
      <c r="D99">
        <f t="shared" si="4"/>
        <v>-0.70136986301369864</v>
      </c>
      <c r="E99" s="12">
        <v>0.5341796875</v>
      </c>
      <c r="F99" s="13">
        <f t="shared" si="5"/>
        <v>6.9443359375</v>
      </c>
    </row>
    <row r="100" spans="1:6">
      <c r="A100" s="1">
        <v>45757</v>
      </c>
      <c r="B100">
        <v>100</v>
      </c>
      <c r="C100">
        <f t="shared" si="3"/>
        <v>-255</v>
      </c>
      <c r="D100">
        <f t="shared" si="4"/>
        <v>-0.69863013698630139</v>
      </c>
      <c r="E100" s="12">
        <v>0.5361328125</v>
      </c>
      <c r="F100" s="13">
        <f t="shared" si="5"/>
        <v>6.9697265625</v>
      </c>
    </row>
    <row r="101" spans="1:6">
      <c r="A101" s="1">
        <v>45758</v>
      </c>
      <c r="B101">
        <v>101</v>
      </c>
      <c r="C101">
        <f t="shared" si="3"/>
        <v>-254</v>
      </c>
      <c r="D101">
        <f t="shared" si="4"/>
        <v>-0.69589041095890414</v>
      </c>
      <c r="E101" s="12">
        <v>0.5380859375</v>
      </c>
      <c r="F101" s="13">
        <f t="shared" si="5"/>
        <v>6.9951171875</v>
      </c>
    </row>
    <row r="102" spans="1:6">
      <c r="A102" s="1">
        <v>45759</v>
      </c>
      <c r="B102">
        <v>102</v>
      </c>
      <c r="C102">
        <f t="shared" si="3"/>
        <v>-253</v>
      </c>
      <c r="D102">
        <f t="shared" si="4"/>
        <v>-0.69315068493150689</v>
      </c>
      <c r="E102" s="12">
        <v>0.53955078125</v>
      </c>
      <c r="F102" s="13">
        <f t="shared" si="5"/>
        <v>7.01416015625</v>
      </c>
    </row>
    <row r="103" spans="1:6">
      <c r="A103" s="1">
        <v>45760</v>
      </c>
      <c r="B103">
        <v>103</v>
      </c>
      <c r="C103">
        <f t="shared" si="3"/>
        <v>-252</v>
      </c>
      <c r="D103">
        <f t="shared" si="4"/>
        <v>-0.69041095890410964</v>
      </c>
      <c r="E103" s="12">
        <v>0.54150390625</v>
      </c>
      <c r="F103" s="13">
        <f t="shared" si="5"/>
        <v>7.03955078125</v>
      </c>
    </row>
    <row r="104" spans="1:6">
      <c r="A104" s="1">
        <v>45761</v>
      </c>
      <c r="B104">
        <v>104</v>
      </c>
      <c r="C104">
        <f t="shared" si="3"/>
        <v>-251</v>
      </c>
      <c r="D104">
        <f t="shared" si="4"/>
        <v>-0.68767123287671228</v>
      </c>
      <c r="E104" s="12">
        <v>0.54296875</v>
      </c>
      <c r="F104" s="13">
        <f t="shared" si="5"/>
        <v>7.05859375</v>
      </c>
    </row>
    <row r="105" spans="1:6">
      <c r="A105" s="1">
        <v>45762</v>
      </c>
      <c r="B105">
        <v>105</v>
      </c>
      <c r="C105">
        <f t="shared" si="3"/>
        <v>-250</v>
      </c>
      <c r="D105">
        <f t="shared" si="4"/>
        <v>-0.68493150684931503</v>
      </c>
      <c r="E105" s="12">
        <v>0.54443359375</v>
      </c>
      <c r="F105" s="13">
        <f t="shared" si="5"/>
        <v>7.07763671875</v>
      </c>
    </row>
    <row r="106" spans="1:6">
      <c r="A106" s="1">
        <v>45763</v>
      </c>
      <c r="B106">
        <v>106</v>
      </c>
      <c r="C106">
        <f t="shared" si="3"/>
        <v>-249</v>
      </c>
      <c r="D106">
        <f t="shared" si="4"/>
        <v>-0.68219178082191778</v>
      </c>
      <c r="E106" s="12">
        <v>0.54638671875</v>
      </c>
      <c r="F106" s="13">
        <f t="shared" si="5"/>
        <v>7.10302734375</v>
      </c>
    </row>
    <row r="107" spans="1:6">
      <c r="A107" s="1">
        <v>45764</v>
      </c>
      <c r="B107">
        <v>107</v>
      </c>
      <c r="C107">
        <f t="shared" si="3"/>
        <v>-248</v>
      </c>
      <c r="D107">
        <f t="shared" si="4"/>
        <v>-0.67945205479452053</v>
      </c>
      <c r="E107" s="12">
        <v>0.5478515625</v>
      </c>
      <c r="F107" s="13">
        <f t="shared" si="5"/>
        <v>7.1220703125</v>
      </c>
    </row>
    <row r="108" spans="1:6">
      <c r="A108" s="1">
        <v>45765</v>
      </c>
      <c r="B108">
        <v>108</v>
      </c>
      <c r="C108">
        <f t="shared" si="3"/>
        <v>-247</v>
      </c>
      <c r="D108">
        <f t="shared" si="4"/>
        <v>-0.67671232876712328</v>
      </c>
      <c r="E108" s="12">
        <v>0.54931640625</v>
      </c>
      <c r="F108" s="13">
        <f t="shared" si="5"/>
        <v>7.14111328125</v>
      </c>
    </row>
    <row r="109" spans="1:6">
      <c r="A109" s="1">
        <v>45766</v>
      </c>
      <c r="B109">
        <v>109</v>
      </c>
      <c r="C109">
        <f t="shared" si="3"/>
        <v>-246</v>
      </c>
      <c r="D109">
        <f t="shared" si="4"/>
        <v>-0.67397260273972603</v>
      </c>
      <c r="E109" s="12">
        <v>0.55126953125</v>
      </c>
      <c r="F109" s="13">
        <f t="shared" si="5"/>
        <v>7.16650390625</v>
      </c>
    </row>
    <row r="110" spans="1:6">
      <c r="A110" s="1">
        <v>45767</v>
      </c>
      <c r="B110">
        <v>110</v>
      </c>
      <c r="C110">
        <f t="shared" si="3"/>
        <v>-245</v>
      </c>
      <c r="D110">
        <f t="shared" si="4"/>
        <v>-0.67123287671232879</v>
      </c>
      <c r="E110" s="12">
        <v>0.552734375</v>
      </c>
      <c r="F110" s="13">
        <f t="shared" si="5"/>
        <v>7.185546875</v>
      </c>
    </row>
    <row r="111" spans="1:6">
      <c r="A111" s="1">
        <v>45768</v>
      </c>
      <c r="B111">
        <v>111</v>
      </c>
      <c r="C111">
        <f t="shared" si="3"/>
        <v>-244</v>
      </c>
      <c r="D111">
        <f t="shared" si="4"/>
        <v>-0.66849315068493154</v>
      </c>
      <c r="E111" s="12">
        <v>0.5546875</v>
      </c>
      <c r="F111" s="13">
        <f t="shared" si="5"/>
        <v>7.2109375</v>
      </c>
    </row>
    <row r="112" spans="1:6">
      <c r="A112" s="1">
        <v>45769</v>
      </c>
      <c r="B112">
        <v>112</v>
      </c>
      <c r="C112">
        <f t="shared" si="3"/>
        <v>-243</v>
      </c>
      <c r="D112">
        <f t="shared" si="4"/>
        <v>-0.66575342465753429</v>
      </c>
      <c r="E112" s="12">
        <v>0.55615234375</v>
      </c>
      <c r="F112" s="13">
        <f t="shared" si="5"/>
        <v>7.22998046875</v>
      </c>
    </row>
    <row r="113" spans="1:6">
      <c r="A113" s="1">
        <v>45770</v>
      </c>
      <c r="B113">
        <v>113</v>
      </c>
      <c r="C113">
        <f t="shared" si="3"/>
        <v>-242</v>
      </c>
      <c r="D113">
        <f t="shared" si="4"/>
        <v>-0.66301369863013704</v>
      </c>
      <c r="E113" s="12">
        <v>0.5576171875</v>
      </c>
      <c r="F113" s="13">
        <f t="shared" si="5"/>
        <v>7.2490234375</v>
      </c>
    </row>
    <row r="114" spans="1:6">
      <c r="A114" s="1">
        <v>45771</v>
      </c>
      <c r="B114">
        <v>114</v>
      </c>
      <c r="C114">
        <f t="shared" si="3"/>
        <v>-241</v>
      </c>
      <c r="D114">
        <f t="shared" si="4"/>
        <v>-0.66027397260273968</v>
      </c>
      <c r="E114" s="12">
        <v>0.5595703125</v>
      </c>
      <c r="F114" s="13">
        <f t="shared" si="5"/>
        <v>7.2744140625</v>
      </c>
    </row>
    <row r="115" spans="1:6">
      <c r="A115" s="1">
        <v>45772</v>
      </c>
      <c r="B115">
        <v>115</v>
      </c>
      <c r="C115">
        <f t="shared" si="3"/>
        <v>-240</v>
      </c>
      <c r="D115">
        <f t="shared" si="4"/>
        <v>-0.65753424657534243</v>
      </c>
      <c r="E115" s="12">
        <v>0.56103515625</v>
      </c>
      <c r="F115" s="13">
        <f t="shared" si="5"/>
        <v>7.29345703125</v>
      </c>
    </row>
    <row r="116" spans="1:6">
      <c r="A116" s="1">
        <v>45773</v>
      </c>
      <c r="B116">
        <v>116</v>
      </c>
      <c r="C116">
        <f t="shared" si="3"/>
        <v>-239</v>
      </c>
      <c r="D116">
        <f t="shared" si="4"/>
        <v>-0.65479452054794518</v>
      </c>
      <c r="E116" s="12">
        <v>0.56298828125</v>
      </c>
      <c r="F116" s="13">
        <f t="shared" si="5"/>
        <v>7.31884765625</v>
      </c>
    </row>
    <row r="117" spans="1:6">
      <c r="A117" s="1">
        <v>45774</v>
      </c>
      <c r="B117">
        <v>117</v>
      </c>
      <c r="C117">
        <f t="shared" si="3"/>
        <v>-238</v>
      </c>
      <c r="D117">
        <f t="shared" si="4"/>
        <v>-0.65205479452054793</v>
      </c>
      <c r="E117" s="12">
        <v>0.564453125</v>
      </c>
      <c r="F117" s="13">
        <f t="shared" si="5"/>
        <v>7.337890625</v>
      </c>
    </row>
    <row r="118" spans="1:6">
      <c r="A118" s="1">
        <v>45775</v>
      </c>
      <c r="B118">
        <v>118</v>
      </c>
      <c r="C118">
        <f t="shared" si="3"/>
        <v>-237</v>
      </c>
      <c r="D118">
        <f t="shared" si="4"/>
        <v>-0.64931506849315068</v>
      </c>
      <c r="E118" s="12">
        <v>0.56591796875</v>
      </c>
      <c r="F118" s="13">
        <f t="shared" si="5"/>
        <v>7.35693359375</v>
      </c>
    </row>
    <row r="119" spans="1:6">
      <c r="A119" s="1">
        <v>45776</v>
      </c>
      <c r="B119">
        <v>119</v>
      </c>
      <c r="C119">
        <f t="shared" si="3"/>
        <v>-236</v>
      </c>
      <c r="D119">
        <f t="shared" si="4"/>
        <v>-0.64657534246575343</v>
      </c>
      <c r="E119" s="12">
        <v>0.5673828125</v>
      </c>
      <c r="F119" s="13">
        <f t="shared" si="5"/>
        <v>7.3759765625</v>
      </c>
    </row>
    <row r="120" spans="1:6">
      <c r="A120" s="1">
        <v>45777</v>
      </c>
      <c r="B120">
        <v>120</v>
      </c>
      <c r="C120">
        <f t="shared" si="3"/>
        <v>-235</v>
      </c>
      <c r="D120">
        <f t="shared" si="4"/>
        <v>-0.64383561643835618</v>
      </c>
      <c r="E120" s="12">
        <v>0.56884765625</v>
      </c>
      <c r="F120" s="13">
        <f t="shared" si="5"/>
        <v>7.39501953125</v>
      </c>
    </row>
    <row r="121" spans="1:6">
      <c r="A121" s="1">
        <v>45778</v>
      </c>
      <c r="B121">
        <v>121</v>
      </c>
      <c r="C121">
        <f t="shared" si="3"/>
        <v>-234</v>
      </c>
      <c r="D121">
        <f t="shared" si="4"/>
        <v>-0.64109589041095894</v>
      </c>
      <c r="E121" s="12">
        <v>0.5703125</v>
      </c>
      <c r="F121" s="13">
        <f t="shared" si="5"/>
        <v>7.4140625</v>
      </c>
    </row>
    <row r="122" spans="1:6">
      <c r="A122" s="1">
        <v>45779</v>
      </c>
      <c r="B122">
        <v>122</v>
      </c>
      <c r="C122">
        <f t="shared" si="3"/>
        <v>-233</v>
      </c>
      <c r="D122">
        <f t="shared" si="4"/>
        <v>-0.63835616438356169</v>
      </c>
      <c r="E122" s="12">
        <v>0.572265625</v>
      </c>
      <c r="F122" s="13">
        <f t="shared" si="5"/>
        <v>7.439453125</v>
      </c>
    </row>
    <row r="123" spans="1:6">
      <c r="A123" s="1">
        <v>45780</v>
      </c>
      <c r="B123">
        <v>123</v>
      </c>
      <c r="C123">
        <f t="shared" si="3"/>
        <v>-232</v>
      </c>
      <c r="D123">
        <f t="shared" si="4"/>
        <v>-0.63561643835616444</v>
      </c>
      <c r="E123" s="12">
        <v>0.5732421875</v>
      </c>
      <c r="F123" s="13">
        <f t="shared" si="5"/>
        <v>7.4521484375</v>
      </c>
    </row>
    <row r="124" spans="1:6">
      <c r="A124" s="1">
        <v>45781</v>
      </c>
      <c r="B124">
        <v>124</v>
      </c>
      <c r="C124">
        <f t="shared" si="3"/>
        <v>-231</v>
      </c>
      <c r="D124">
        <f t="shared" si="4"/>
        <v>-0.63287671232876708</v>
      </c>
      <c r="E124" s="12">
        <v>0.5751953125</v>
      </c>
      <c r="F124" s="13">
        <f t="shared" si="5"/>
        <v>7.4775390625</v>
      </c>
    </row>
    <row r="125" spans="1:6">
      <c r="A125" s="1">
        <v>45782</v>
      </c>
      <c r="B125">
        <v>125</v>
      </c>
      <c r="C125">
        <f t="shared" si="3"/>
        <v>-230</v>
      </c>
      <c r="D125">
        <f t="shared" si="4"/>
        <v>-0.63013698630136983</v>
      </c>
      <c r="E125" s="12">
        <v>0.57666015625</v>
      </c>
      <c r="F125" s="13">
        <f t="shared" si="5"/>
        <v>7.49658203125</v>
      </c>
    </row>
    <row r="126" spans="1:6">
      <c r="A126" s="1">
        <v>45783</v>
      </c>
      <c r="B126">
        <v>126</v>
      </c>
      <c r="C126">
        <f t="shared" si="3"/>
        <v>-229</v>
      </c>
      <c r="D126">
        <f t="shared" si="4"/>
        <v>-0.62739726027397258</v>
      </c>
      <c r="E126" s="12">
        <v>0.57763671875</v>
      </c>
      <c r="F126" s="13">
        <f t="shared" si="5"/>
        <v>7.50927734375</v>
      </c>
    </row>
    <row r="127" spans="1:6">
      <c r="A127" s="8">
        <v>45784</v>
      </c>
      <c r="B127" s="9">
        <v>127</v>
      </c>
      <c r="C127" s="9">
        <f t="shared" si="3"/>
        <v>-228</v>
      </c>
      <c r="D127" s="9">
        <f t="shared" si="4"/>
        <v>-0.62465753424657533</v>
      </c>
      <c r="E127" s="12">
        <v>0.57958984375</v>
      </c>
      <c r="F127" s="13">
        <f t="shared" si="5"/>
        <v>7.53466796875</v>
      </c>
    </row>
    <row r="128" spans="1:6">
      <c r="A128" s="1">
        <v>45785</v>
      </c>
      <c r="B128">
        <v>128</v>
      </c>
      <c r="C128">
        <f t="shared" si="3"/>
        <v>-227</v>
      </c>
      <c r="D128">
        <f t="shared" si="4"/>
        <v>-0.62191780821917808</v>
      </c>
      <c r="E128" s="12">
        <v>0.58056640625</v>
      </c>
      <c r="F128" s="13">
        <f t="shared" si="5"/>
        <v>7.54736328125</v>
      </c>
    </row>
    <row r="129" spans="1:6">
      <c r="A129" s="1">
        <v>45786</v>
      </c>
      <c r="B129">
        <v>129</v>
      </c>
      <c r="C129">
        <f t="shared" si="3"/>
        <v>-226</v>
      </c>
      <c r="D129">
        <f t="shared" si="4"/>
        <v>-0.61917808219178083</v>
      </c>
      <c r="E129" s="12">
        <v>0.58203125</v>
      </c>
      <c r="F129" s="13">
        <f t="shared" si="5"/>
        <v>7.56640625</v>
      </c>
    </row>
    <row r="130" spans="1:6">
      <c r="A130" s="1">
        <v>45787</v>
      </c>
      <c r="B130">
        <v>130</v>
      </c>
      <c r="C130">
        <f t="shared" ref="C130:C193" si="6">B130-355</f>
        <v>-225</v>
      </c>
      <c r="D130">
        <f t="shared" ref="D130:D193" si="7">C130/365</f>
        <v>-0.61643835616438358</v>
      </c>
      <c r="E130" s="12">
        <v>0.58349609375</v>
      </c>
      <c r="F130" s="13">
        <f t="shared" ref="F130:F193" si="8">E130*13</f>
        <v>7.58544921875</v>
      </c>
    </row>
    <row r="131" spans="1:6">
      <c r="A131" s="1">
        <v>45788</v>
      </c>
      <c r="B131">
        <v>131</v>
      </c>
      <c r="C131">
        <f t="shared" si="6"/>
        <v>-224</v>
      </c>
      <c r="D131">
        <f t="shared" si="7"/>
        <v>-0.61369863013698633</v>
      </c>
      <c r="E131" s="12">
        <v>0.5849609375</v>
      </c>
      <c r="F131" s="13">
        <f t="shared" si="8"/>
        <v>7.6044921875</v>
      </c>
    </row>
    <row r="132" spans="1:6">
      <c r="A132" s="1">
        <v>45789</v>
      </c>
      <c r="B132">
        <v>132</v>
      </c>
      <c r="C132">
        <f t="shared" si="6"/>
        <v>-223</v>
      </c>
      <c r="D132">
        <f t="shared" si="7"/>
        <v>-0.61095890410958908</v>
      </c>
      <c r="E132" s="12">
        <v>0.5859375</v>
      </c>
      <c r="F132" s="13">
        <f t="shared" si="8"/>
        <v>7.6171875</v>
      </c>
    </row>
    <row r="133" spans="1:6">
      <c r="A133" s="1">
        <v>45790</v>
      </c>
      <c r="B133">
        <v>133</v>
      </c>
      <c r="C133">
        <f t="shared" si="6"/>
        <v>-222</v>
      </c>
      <c r="D133">
        <f t="shared" si="7"/>
        <v>-0.60821917808219184</v>
      </c>
      <c r="E133" s="12">
        <v>0.58740234375</v>
      </c>
      <c r="F133" s="13">
        <f t="shared" si="8"/>
        <v>7.63623046875</v>
      </c>
    </row>
    <row r="134" spans="1:6">
      <c r="A134" s="1">
        <v>45791</v>
      </c>
      <c r="B134">
        <v>134</v>
      </c>
      <c r="C134">
        <f t="shared" si="6"/>
        <v>-221</v>
      </c>
      <c r="D134">
        <f t="shared" si="7"/>
        <v>-0.60547945205479448</v>
      </c>
      <c r="E134" s="12">
        <v>0.5888671875</v>
      </c>
      <c r="F134" s="13">
        <f t="shared" si="8"/>
        <v>7.6552734375</v>
      </c>
    </row>
    <row r="135" spans="1:6">
      <c r="A135" s="1">
        <v>45792</v>
      </c>
      <c r="B135">
        <v>135</v>
      </c>
      <c r="C135">
        <f t="shared" si="6"/>
        <v>-220</v>
      </c>
      <c r="D135">
        <f t="shared" si="7"/>
        <v>-0.60273972602739723</v>
      </c>
      <c r="E135" s="12">
        <v>0.58984375</v>
      </c>
      <c r="F135" s="13">
        <f t="shared" si="8"/>
        <v>7.66796875</v>
      </c>
    </row>
    <row r="136" spans="1:6">
      <c r="A136" s="1">
        <v>45793</v>
      </c>
      <c r="B136">
        <v>136</v>
      </c>
      <c r="C136">
        <f t="shared" si="6"/>
        <v>-219</v>
      </c>
      <c r="D136">
        <f t="shared" si="7"/>
        <v>-0.6</v>
      </c>
      <c r="E136" s="12">
        <v>0.59130859375</v>
      </c>
      <c r="F136" s="13">
        <f t="shared" si="8"/>
        <v>7.68701171875</v>
      </c>
    </row>
    <row r="137" spans="1:6">
      <c r="A137" s="1">
        <v>45794</v>
      </c>
      <c r="B137">
        <v>137</v>
      </c>
      <c r="C137">
        <f t="shared" si="6"/>
        <v>-218</v>
      </c>
      <c r="D137">
        <f t="shared" si="7"/>
        <v>-0.59726027397260273</v>
      </c>
      <c r="E137" s="12">
        <v>0.5927734375</v>
      </c>
      <c r="F137" s="13">
        <f t="shared" si="8"/>
        <v>7.7060546875</v>
      </c>
    </row>
    <row r="138" spans="1:6">
      <c r="A138" s="1">
        <v>45795</v>
      </c>
      <c r="B138">
        <v>138</v>
      </c>
      <c r="C138">
        <f t="shared" si="6"/>
        <v>-217</v>
      </c>
      <c r="D138">
        <f t="shared" si="7"/>
        <v>-0.59452054794520548</v>
      </c>
      <c r="E138" s="12">
        <v>0.59375</v>
      </c>
      <c r="F138" s="13">
        <f t="shared" si="8"/>
        <v>7.71875</v>
      </c>
    </row>
    <row r="139" spans="1:6">
      <c r="A139" s="1">
        <v>45796</v>
      </c>
      <c r="B139">
        <v>139</v>
      </c>
      <c r="C139">
        <f t="shared" si="6"/>
        <v>-216</v>
      </c>
      <c r="D139">
        <f t="shared" si="7"/>
        <v>-0.59178082191780823</v>
      </c>
      <c r="E139" s="12">
        <v>0.5947265625</v>
      </c>
      <c r="F139" s="13">
        <f t="shared" si="8"/>
        <v>7.7314453125</v>
      </c>
    </row>
    <row r="140" spans="1:6">
      <c r="A140" s="1">
        <v>45797</v>
      </c>
      <c r="B140">
        <v>140</v>
      </c>
      <c r="C140">
        <f t="shared" si="6"/>
        <v>-215</v>
      </c>
      <c r="D140">
        <f t="shared" si="7"/>
        <v>-0.58904109589041098</v>
      </c>
      <c r="E140" s="12">
        <v>0.59619140625</v>
      </c>
      <c r="F140" s="13">
        <f t="shared" si="8"/>
        <v>7.75048828125</v>
      </c>
    </row>
    <row r="141" spans="1:6">
      <c r="A141" s="1">
        <v>45798</v>
      </c>
      <c r="B141">
        <v>141</v>
      </c>
      <c r="C141">
        <f t="shared" si="6"/>
        <v>-214</v>
      </c>
      <c r="D141">
        <f t="shared" si="7"/>
        <v>-0.58630136986301373</v>
      </c>
      <c r="E141" s="12">
        <v>0.59716796875</v>
      </c>
      <c r="F141" s="13">
        <f t="shared" si="8"/>
        <v>7.76318359375</v>
      </c>
    </row>
    <row r="142" spans="1:6">
      <c r="A142" s="1">
        <v>45799</v>
      </c>
      <c r="B142">
        <v>142</v>
      </c>
      <c r="C142">
        <f t="shared" si="6"/>
        <v>-213</v>
      </c>
      <c r="D142">
        <f t="shared" si="7"/>
        <v>-0.58356164383561648</v>
      </c>
      <c r="E142" s="12">
        <v>0.59814453125</v>
      </c>
      <c r="F142" s="13">
        <f t="shared" si="8"/>
        <v>7.77587890625</v>
      </c>
    </row>
    <row r="143" spans="1:6">
      <c r="A143" s="1">
        <v>45800</v>
      </c>
      <c r="B143">
        <v>143</v>
      </c>
      <c r="C143">
        <f t="shared" si="6"/>
        <v>-212</v>
      </c>
      <c r="D143">
        <f t="shared" si="7"/>
        <v>-0.58082191780821912</v>
      </c>
      <c r="E143" s="12">
        <v>0.59912109375</v>
      </c>
      <c r="F143" s="13">
        <f t="shared" si="8"/>
        <v>7.78857421875</v>
      </c>
    </row>
    <row r="144" spans="1:6">
      <c r="A144" s="1">
        <v>45801</v>
      </c>
      <c r="B144">
        <v>144</v>
      </c>
      <c r="C144">
        <f t="shared" si="6"/>
        <v>-211</v>
      </c>
      <c r="D144">
        <f t="shared" si="7"/>
        <v>-0.57808219178082187</v>
      </c>
      <c r="E144" s="12">
        <v>0.60009765625</v>
      </c>
      <c r="F144" s="13">
        <f t="shared" si="8"/>
        <v>7.80126953125</v>
      </c>
    </row>
    <row r="145" spans="1:6">
      <c r="A145" s="1">
        <v>45802</v>
      </c>
      <c r="B145">
        <v>145</v>
      </c>
      <c r="C145">
        <f t="shared" si="6"/>
        <v>-210</v>
      </c>
      <c r="D145">
        <f t="shared" si="7"/>
        <v>-0.57534246575342463</v>
      </c>
      <c r="E145" s="12">
        <v>0.6015625</v>
      </c>
      <c r="F145" s="13">
        <f t="shared" si="8"/>
        <v>7.8203125</v>
      </c>
    </row>
    <row r="146" spans="1:6">
      <c r="A146" s="1">
        <v>45803</v>
      </c>
      <c r="B146">
        <v>146</v>
      </c>
      <c r="C146">
        <f t="shared" si="6"/>
        <v>-209</v>
      </c>
      <c r="D146">
        <f t="shared" si="7"/>
        <v>-0.57260273972602738</v>
      </c>
      <c r="E146" s="12">
        <v>0.6025390625</v>
      </c>
      <c r="F146" s="13">
        <f t="shared" si="8"/>
        <v>7.8330078125</v>
      </c>
    </row>
    <row r="147" spans="1:6">
      <c r="A147" s="1">
        <v>45804</v>
      </c>
      <c r="B147">
        <v>147</v>
      </c>
      <c r="C147">
        <f t="shared" si="6"/>
        <v>-208</v>
      </c>
      <c r="D147">
        <f t="shared" si="7"/>
        <v>-0.56986301369863013</v>
      </c>
      <c r="E147" s="12">
        <v>0.603515625</v>
      </c>
      <c r="F147" s="13">
        <f t="shared" si="8"/>
        <v>7.845703125</v>
      </c>
    </row>
    <row r="148" spans="1:6">
      <c r="A148" s="1">
        <v>45805</v>
      </c>
      <c r="B148">
        <v>148</v>
      </c>
      <c r="C148">
        <f t="shared" si="6"/>
        <v>-207</v>
      </c>
      <c r="D148">
        <f t="shared" si="7"/>
        <v>-0.56712328767123288</v>
      </c>
      <c r="E148" s="12">
        <v>0.60400390625</v>
      </c>
      <c r="F148" s="13">
        <f t="shared" si="8"/>
        <v>7.85205078125</v>
      </c>
    </row>
    <row r="149" spans="1:6">
      <c r="A149" s="1">
        <v>45806</v>
      </c>
      <c r="B149">
        <v>149</v>
      </c>
      <c r="C149">
        <f t="shared" si="6"/>
        <v>-206</v>
      </c>
      <c r="D149">
        <f t="shared" si="7"/>
        <v>-0.56438356164383563</v>
      </c>
      <c r="E149" s="12">
        <v>0.60498046875</v>
      </c>
      <c r="F149" s="13">
        <f t="shared" si="8"/>
        <v>7.86474609375</v>
      </c>
    </row>
    <row r="150" spans="1:6">
      <c r="A150" s="1">
        <v>45807</v>
      </c>
      <c r="B150">
        <v>150</v>
      </c>
      <c r="C150">
        <f t="shared" si="6"/>
        <v>-205</v>
      </c>
      <c r="D150">
        <f t="shared" si="7"/>
        <v>-0.56164383561643838</v>
      </c>
      <c r="E150" s="12">
        <v>0.60595703125</v>
      </c>
      <c r="F150" s="13">
        <f t="shared" si="8"/>
        <v>7.87744140625</v>
      </c>
    </row>
    <row r="151" spans="1:6">
      <c r="A151" s="1">
        <v>45808</v>
      </c>
      <c r="B151">
        <v>151</v>
      </c>
      <c r="C151">
        <f t="shared" si="6"/>
        <v>-204</v>
      </c>
      <c r="D151">
        <f t="shared" si="7"/>
        <v>-0.55890410958904113</v>
      </c>
      <c r="E151" s="12">
        <v>0.6064453125</v>
      </c>
      <c r="F151" s="13">
        <f t="shared" si="8"/>
        <v>7.8837890625</v>
      </c>
    </row>
    <row r="152" spans="1:6">
      <c r="A152" s="1">
        <v>45809</v>
      </c>
      <c r="B152">
        <v>152</v>
      </c>
      <c r="C152">
        <f t="shared" si="6"/>
        <v>-203</v>
      </c>
      <c r="D152">
        <f t="shared" si="7"/>
        <v>-0.55616438356164388</v>
      </c>
      <c r="E152" s="12">
        <v>0.607421875</v>
      </c>
      <c r="F152" s="13">
        <f t="shared" si="8"/>
        <v>7.896484375</v>
      </c>
    </row>
    <row r="153" spans="1:6">
      <c r="A153" s="1">
        <v>45810</v>
      </c>
      <c r="B153">
        <v>153</v>
      </c>
      <c r="C153">
        <f t="shared" si="6"/>
        <v>-202</v>
      </c>
      <c r="D153">
        <f t="shared" si="7"/>
        <v>-0.55342465753424652</v>
      </c>
      <c r="E153" s="12">
        <v>0.6083984375</v>
      </c>
      <c r="F153" s="13">
        <f t="shared" si="8"/>
        <v>7.9091796875</v>
      </c>
    </row>
    <row r="154" spans="1:6">
      <c r="A154" s="1">
        <v>45811</v>
      </c>
      <c r="B154">
        <v>154</v>
      </c>
      <c r="C154">
        <f t="shared" si="6"/>
        <v>-201</v>
      </c>
      <c r="D154">
        <f t="shared" si="7"/>
        <v>-0.55068493150684927</v>
      </c>
      <c r="E154" s="12">
        <v>0.60888671875</v>
      </c>
      <c r="F154" s="13">
        <f t="shared" si="8"/>
        <v>7.91552734375</v>
      </c>
    </row>
    <row r="155" spans="1:6">
      <c r="A155" s="1">
        <v>45812</v>
      </c>
      <c r="B155">
        <v>155</v>
      </c>
      <c r="C155">
        <f t="shared" si="6"/>
        <v>-200</v>
      </c>
      <c r="D155">
        <f t="shared" si="7"/>
        <v>-0.54794520547945202</v>
      </c>
      <c r="E155" s="12">
        <v>0.60986328125</v>
      </c>
      <c r="F155" s="13">
        <f t="shared" si="8"/>
        <v>7.92822265625</v>
      </c>
    </row>
    <row r="156" spans="1:6">
      <c r="A156" s="1">
        <v>45813</v>
      </c>
      <c r="B156">
        <v>156</v>
      </c>
      <c r="C156">
        <f t="shared" si="6"/>
        <v>-199</v>
      </c>
      <c r="D156">
        <f t="shared" si="7"/>
        <v>-0.54520547945205478</v>
      </c>
      <c r="E156" s="12">
        <v>0.6103515625</v>
      </c>
      <c r="F156" s="13">
        <f t="shared" si="8"/>
        <v>7.9345703125</v>
      </c>
    </row>
    <row r="157" spans="1:6">
      <c r="A157" s="1">
        <v>45814</v>
      </c>
      <c r="B157">
        <v>157</v>
      </c>
      <c r="C157">
        <f t="shared" si="6"/>
        <v>-198</v>
      </c>
      <c r="D157">
        <f t="shared" si="7"/>
        <v>-0.54246575342465753</v>
      </c>
      <c r="E157" s="12">
        <v>0.61083984375</v>
      </c>
      <c r="F157" s="13">
        <f t="shared" si="8"/>
        <v>7.94091796875</v>
      </c>
    </row>
    <row r="158" spans="1:6">
      <c r="A158" s="1">
        <v>45815</v>
      </c>
      <c r="B158">
        <v>158</v>
      </c>
      <c r="C158">
        <f t="shared" si="6"/>
        <v>-197</v>
      </c>
      <c r="D158">
        <f t="shared" si="7"/>
        <v>-0.53972602739726028</v>
      </c>
      <c r="E158" s="12">
        <v>0.61181640625</v>
      </c>
      <c r="F158" s="13">
        <f t="shared" si="8"/>
        <v>7.95361328125</v>
      </c>
    </row>
    <row r="159" spans="1:6">
      <c r="A159" s="1">
        <v>45816</v>
      </c>
      <c r="B159">
        <v>159</v>
      </c>
      <c r="C159">
        <f t="shared" si="6"/>
        <v>-196</v>
      </c>
      <c r="D159">
        <f t="shared" si="7"/>
        <v>-0.53698630136986303</v>
      </c>
      <c r="E159" s="12">
        <v>0.61181640625</v>
      </c>
      <c r="F159" s="13">
        <f t="shared" si="8"/>
        <v>7.95361328125</v>
      </c>
    </row>
    <row r="160" spans="1:6">
      <c r="A160" s="1">
        <v>45817</v>
      </c>
      <c r="B160">
        <v>160</v>
      </c>
      <c r="C160">
        <f t="shared" si="6"/>
        <v>-195</v>
      </c>
      <c r="D160">
        <f t="shared" si="7"/>
        <v>-0.53424657534246578</v>
      </c>
      <c r="E160" s="12">
        <v>0.6123046875</v>
      </c>
      <c r="F160" s="13">
        <f t="shared" si="8"/>
        <v>7.9599609375</v>
      </c>
    </row>
    <row r="161" spans="1:6">
      <c r="A161" s="1">
        <v>45818</v>
      </c>
      <c r="B161">
        <v>161</v>
      </c>
      <c r="C161">
        <f t="shared" si="6"/>
        <v>-194</v>
      </c>
      <c r="D161">
        <f t="shared" si="7"/>
        <v>-0.53150684931506853</v>
      </c>
      <c r="E161" s="12">
        <v>0.61279296875</v>
      </c>
      <c r="F161" s="13">
        <f t="shared" si="8"/>
        <v>7.96630859375</v>
      </c>
    </row>
    <row r="162" spans="1:6">
      <c r="A162" s="1">
        <v>45819</v>
      </c>
      <c r="B162">
        <v>162</v>
      </c>
      <c r="C162">
        <f t="shared" si="6"/>
        <v>-193</v>
      </c>
      <c r="D162">
        <f t="shared" si="7"/>
        <v>-0.52876712328767128</v>
      </c>
      <c r="E162" s="12">
        <v>0.61376953125</v>
      </c>
      <c r="F162" s="13">
        <f t="shared" si="8"/>
        <v>7.97900390625</v>
      </c>
    </row>
    <row r="163" spans="1:6">
      <c r="A163" s="1">
        <v>45820</v>
      </c>
      <c r="B163">
        <v>163</v>
      </c>
      <c r="C163">
        <f t="shared" si="6"/>
        <v>-192</v>
      </c>
      <c r="D163">
        <f t="shared" si="7"/>
        <v>-0.52602739726027392</v>
      </c>
      <c r="E163" s="12">
        <v>0.61376953125</v>
      </c>
      <c r="F163" s="13">
        <f t="shared" si="8"/>
        <v>7.97900390625</v>
      </c>
    </row>
    <row r="164" spans="1:6">
      <c r="A164" s="1">
        <v>45821</v>
      </c>
      <c r="B164">
        <v>164</v>
      </c>
      <c r="C164">
        <f t="shared" si="6"/>
        <v>-191</v>
      </c>
      <c r="D164">
        <f t="shared" si="7"/>
        <v>-0.52328767123287667</v>
      </c>
      <c r="E164" s="12">
        <v>0.6142578125</v>
      </c>
      <c r="F164" s="13">
        <f t="shared" si="8"/>
        <v>7.9853515625</v>
      </c>
    </row>
    <row r="165" spans="1:6">
      <c r="A165" s="1">
        <v>45822</v>
      </c>
      <c r="B165">
        <v>165</v>
      </c>
      <c r="C165">
        <f t="shared" si="6"/>
        <v>-190</v>
      </c>
      <c r="D165">
        <f t="shared" si="7"/>
        <v>-0.52054794520547942</v>
      </c>
      <c r="E165" s="12">
        <v>0.6142578125</v>
      </c>
      <c r="F165" s="13">
        <f t="shared" si="8"/>
        <v>7.9853515625</v>
      </c>
    </row>
    <row r="166" spans="1:6">
      <c r="A166" s="1">
        <v>45823</v>
      </c>
      <c r="B166">
        <v>166</v>
      </c>
      <c r="C166">
        <f t="shared" si="6"/>
        <v>-189</v>
      </c>
      <c r="D166">
        <f t="shared" si="7"/>
        <v>-0.51780821917808217</v>
      </c>
      <c r="E166" s="12">
        <v>0.61474609375</v>
      </c>
      <c r="F166" s="13">
        <f t="shared" si="8"/>
        <v>7.99169921875</v>
      </c>
    </row>
    <row r="167" spans="1:6">
      <c r="A167" s="1">
        <v>45824</v>
      </c>
      <c r="B167">
        <v>167</v>
      </c>
      <c r="C167">
        <f t="shared" si="6"/>
        <v>-188</v>
      </c>
      <c r="D167">
        <f t="shared" si="7"/>
        <v>-0.51506849315068493</v>
      </c>
      <c r="E167" s="12">
        <v>0.615234375</v>
      </c>
      <c r="F167" s="13">
        <f t="shared" si="8"/>
        <v>7.998046875</v>
      </c>
    </row>
    <row r="168" spans="1:6">
      <c r="A168" s="1">
        <v>45825</v>
      </c>
      <c r="B168">
        <v>168</v>
      </c>
      <c r="C168">
        <f t="shared" si="6"/>
        <v>-187</v>
      </c>
      <c r="D168">
        <f t="shared" si="7"/>
        <v>-0.51232876712328768</v>
      </c>
      <c r="E168" s="12">
        <v>0.615234375</v>
      </c>
      <c r="F168" s="13">
        <f t="shared" si="8"/>
        <v>7.998046875</v>
      </c>
    </row>
    <row r="169" spans="1:6">
      <c r="A169" s="1">
        <v>45826</v>
      </c>
      <c r="B169">
        <v>169</v>
      </c>
      <c r="C169">
        <f t="shared" si="6"/>
        <v>-186</v>
      </c>
      <c r="D169">
        <f t="shared" si="7"/>
        <v>-0.50958904109589043</v>
      </c>
      <c r="E169" s="12">
        <v>0.615234375</v>
      </c>
      <c r="F169" s="13">
        <f t="shared" si="8"/>
        <v>7.998046875</v>
      </c>
    </row>
    <row r="170" spans="1:6">
      <c r="A170" s="1">
        <v>45827</v>
      </c>
      <c r="B170">
        <v>170</v>
      </c>
      <c r="C170">
        <f t="shared" si="6"/>
        <v>-185</v>
      </c>
      <c r="D170">
        <f t="shared" si="7"/>
        <v>-0.50684931506849318</v>
      </c>
      <c r="E170" s="12">
        <v>0.615234375</v>
      </c>
      <c r="F170" s="13">
        <f t="shared" si="8"/>
        <v>7.998046875</v>
      </c>
    </row>
    <row r="171" spans="1:6">
      <c r="A171" s="1">
        <v>45828</v>
      </c>
      <c r="B171">
        <v>171</v>
      </c>
      <c r="C171">
        <f t="shared" si="6"/>
        <v>-184</v>
      </c>
      <c r="D171">
        <f t="shared" si="7"/>
        <v>-0.50410958904109593</v>
      </c>
      <c r="E171" s="12">
        <v>0.615234375</v>
      </c>
      <c r="F171" s="13">
        <f t="shared" si="8"/>
        <v>7.998046875</v>
      </c>
    </row>
    <row r="172" spans="1:6">
      <c r="A172" s="10">
        <v>45829</v>
      </c>
      <c r="B172" s="11">
        <v>172</v>
      </c>
      <c r="C172" s="11">
        <f t="shared" si="6"/>
        <v>-183</v>
      </c>
      <c r="D172" s="11">
        <f t="shared" si="7"/>
        <v>-0.50136986301369868</v>
      </c>
      <c r="E172" s="12">
        <v>0.61572265625</v>
      </c>
      <c r="F172" s="13">
        <f t="shared" si="8"/>
        <v>8.00439453125</v>
      </c>
    </row>
    <row r="173" spans="1:6">
      <c r="A173" s="1">
        <v>45830</v>
      </c>
      <c r="B173">
        <v>173</v>
      </c>
      <c r="C173">
        <f t="shared" si="6"/>
        <v>-182</v>
      </c>
      <c r="D173">
        <f t="shared" si="7"/>
        <v>-0.49863013698630138</v>
      </c>
      <c r="E173" s="12">
        <v>0.615234375</v>
      </c>
      <c r="F173" s="13">
        <f t="shared" si="8"/>
        <v>7.998046875</v>
      </c>
    </row>
    <row r="174" spans="1:6">
      <c r="A174" s="1">
        <v>45831</v>
      </c>
      <c r="B174">
        <v>174</v>
      </c>
      <c r="C174">
        <f t="shared" si="6"/>
        <v>-181</v>
      </c>
      <c r="D174">
        <f t="shared" si="7"/>
        <v>-0.49589041095890413</v>
      </c>
      <c r="E174" s="12">
        <v>0.615234375</v>
      </c>
      <c r="F174" s="13">
        <f t="shared" si="8"/>
        <v>7.998046875</v>
      </c>
    </row>
    <row r="175" spans="1:6">
      <c r="A175" s="1">
        <v>45832</v>
      </c>
      <c r="B175">
        <v>175</v>
      </c>
      <c r="C175">
        <f t="shared" si="6"/>
        <v>-180</v>
      </c>
      <c r="D175">
        <f t="shared" si="7"/>
        <v>-0.49315068493150682</v>
      </c>
      <c r="E175" s="12">
        <v>0.615234375</v>
      </c>
      <c r="F175" s="13">
        <f t="shared" si="8"/>
        <v>7.998046875</v>
      </c>
    </row>
    <row r="176" spans="1:6">
      <c r="A176" s="1">
        <v>45833</v>
      </c>
      <c r="B176">
        <v>176</v>
      </c>
      <c r="C176">
        <f t="shared" si="6"/>
        <v>-179</v>
      </c>
      <c r="D176">
        <f t="shared" si="7"/>
        <v>-0.49041095890410957</v>
      </c>
      <c r="E176" s="12">
        <v>0.61474609375</v>
      </c>
      <c r="F176" s="13">
        <f t="shared" si="8"/>
        <v>7.99169921875</v>
      </c>
    </row>
    <row r="177" spans="1:6">
      <c r="A177" s="1">
        <v>45834</v>
      </c>
      <c r="B177">
        <v>177</v>
      </c>
      <c r="C177">
        <f t="shared" si="6"/>
        <v>-178</v>
      </c>
      <c r="D177">
        <f t="shared" si="7"/>
        <v>-0.48767123287671232</v>
      </c>
      <c r="E177" s="12">
        <v>0.615234375</v>
      </c>
      <c r="F177" s="13">
        <f t="shared" si="8"/>
        <v>7.998046875</v>
      </c>
    </row>
    <row r="178" spans="1:6">
      <c r="A178" s="1">
        <v>45835</v>
      </c>
      <c r="B178">
        <v>178</v>
      </c>
      <c r="C178">
        <f t="shared" si="6"/>
        <v>-177</v>
      </c>
      <c r="D178">
        <f t="shared" si="7"/>
        <v>-0.48493150684931507</v>
      </c>
      <c r="E178" s="12">
        <v>0.61474609375</v>
      </c>
      <c r="F178" s="13">
        <f t="shared" si="8"/>
        <v>7.99169921875</v>
      </c>
    </row>
    <row r="179" spans="1:6">
      <c r="A179" s="1">
        <v>45836</v>
      </c>
      <c r="B179">
        <v>179</v>
      </c>
      <c r="C179">
        <f t="shared" si="6"/>
        <v>-176</v>
      </c>
      <c r="D179">
        <f t="shared" si="7"/>
        <v>-0.48219178082191783</v>
      </c>
      <c r="E179" s="12">
        <v>0.61474609375</v>
      </c>
      <c r="F179" s="13">
        <f t="shared" si="8"/>
        <v>7.99169921875</v>
      </c>
    </row>
    <row r="180" spans="1:6">
      <c r="A180" s="1">
        <v>45837</v>
      </c>
      <c r="B180">
        <v>180</v>
      </c>
      <c r="C180">
        <f t="shared" si="6"/>
        <v>-175</v>
      </c>
      <c r="D180">
        <f t="shared" si="7"/>
        <v>-0.47945205479452052</v>
      </c>
      <c r="E180" s="12">
        <v>0.6142578125</v>
      </c>
      <c r="F180" s="13">
        <f t="shared" si="8"/>
        <v>7.9853515625</v>
      </c>
    </row>
    <row r="181" spans="1:6">
      <c r="A181" s="1">
        <v>45838</v>
      </c>
      <c r="B181">
        <v>181</v>
      </c>
      <c r="C181">
        <f t="shared" si="6"/>
        <v>-174</v>
      </c>
      <c r="D181">
        <f t="shared" si="7"/>
        <v>-0.47671232876712327</v>
      </c>
      <c r="E181" s="12">
        <v>0.6142578125</v>
      </c>
      <c r="F181" s="13">
        <f t="shared" si="8"/>
        <v>7.9853515625</v>
      </c>
    </row>
    <row r="182" spans="1:6">
      <c r="A182" s="1">
        <v>45839</v>
      </c>
      <c r="B182">
        <v>182</v>
      </c>
      <c r="C182">
        <f t="shared" si="6"/>
        <v>-173</v>
      </c>
      <c r="D182">
        <f t="shared" si="7"/>
        <v>-0.47397260273972602</v>
      </c>
      <c r="E182" s="12">
        <v>0.61328125</v>
      </c>
      <c r="F182" s="13">
        <f t="shared" si="8"/>
        <v>7.97265625</v>
      </c>
    </row>
    <row r="183" spans="1:6">
      <c r="A183" s="1">
        <v>45840</v>
      </c>
      <c r="B183">
        <v>183</v>
      </c>
      <c r="C183">
        <f t="shared" si="6"/>
        <v>-172</v>
      </c>
      <c r="D183">
        <f t="shared" si="7"/>
        <v>-0.47123287671232877</v>
      </c>
      <c r="E183" s="12">
        <v>0.61279296875</v>
      </c>
      <c r="F183" s="13">
        <f t="shared" si="8"/>
        <v>7.96630859375</v>
      </c>
    </row>
    <row r="184" spans="1:6">
      <c r="A184" s="1">
        <v>45841</v>
      </c>
      <c r="B184">
        <v>184</v>
      </c>
      <c r="C184">
        <f t="shared" si="6"/>
        <v>-171</v>
      </c>
      <c r="D184">
        <f t="shared" si="7"/>
        <v>-0.46849315068493153</v>
      </c>
      <c r="E184" s="12">
        <v>0.61279296875</v>
      </c>
      <c r="F184" s="13">
        <f t="shared" si="8"/>
        <v>7.96630859375</v>
      </c>
    </row>
    <row r="185" spans="1:6">
      <c r="A185" s="1">
        <v>45842</v>
      </c>
      <c r="B185">
        <v>185</v>
      </c>
      <c r="C185">
        <f t="shared" si="6"/>
        <v>-170</v>
      </c>
      <c r="D185">
        <f t="shared" si="7"/>
        <v>-0.46575342465753422</v>
      </c>
      <c r="E185" s="12">
        <v>0.6123046875</v>
      </c>
      <c r="F185" s="13">
        <f t="shared" si="8"/>
        <v>7.9599609375</v>
      </c>
    </row>
    <row r="186" spans="1:6">
      <c r="A186" s="1">
        <v>45843</v>
      </c>
      <c r="B186">
        <v>186</v>
      </c>
      <c r="C186">
        <f t="shared" si="6"/>
        <v>-169</v>
      </c>
      <c r="D186">
        <f t="shared" si="7"/>
        <v>-0.46301369863013697</v>
      </c>
      <c r="E186" s="12">
        <v>0.61181640625</v>
      </c>
      <c r="F186" s="13">
        <f t="shared" si="8"/>
        <v>7.95361328125</v>
      </c>
    </row>
    <row r="187" spans="1:6">
      <c r="A187" s="1">
        <v>45844</v>
      </c>
      <c r="B187">
        <v>187</v>
      </c>
      <c r="C187">
        <f t="shared" si="6"/>
        <v>-168</v>
      </c>
      <c r="D187">
        <f t="shared" si="7"/>
        <v>-0.46027397260273972</v>
      </c>
      <c r="E187" s="12">
        <v>0.61083984375</v>
      </c>
      <c r="F187" s="13">
        <f t="shared" si="8"/>
        <v>7.94091796875</v>
      </c>
    </row>
    <row r="188" spans="1:6">
      <c r="A188" s="1">
        <v>45845</v>
      </c>
      <c r="B188">
        <v>188</v>
      </c>
      <c r="C188">
        <f t="shared" si="6"/>
        <v>-167</v>
      </c>
      <c r="D188">
        <f t="shared" si="7"/>
        <v>-0.45753424657534247</v>
      </c>
      <c r="E188" s="12">
        <v>0.6103515625</v>
      </c>
      <c r="F188" s="13">
        <f t="shared" si="8"/>
        <v>7.9345703125</v>
      </c>
    </row>
    <row r="189" spans="1:6">
      <c r="A189" s="1">
        <v>45846</v>
      </c>
      <c r="B189">
        <v>189</v>
      </c>
      <c r="C189">
        <f t="shared" si="6"/>
        <v>-166</v>
      </c>
      <c r="D189">
        <f t="shared" si="7"/>
        <v>-0.45479452054794522</v>
      </c>
      <c r="E189" s="12">
        <v>0.609375</v>
      </c>
      <c r="F189" s="13">
        <f t="shared" si="8"/>
        <v>7.921875</v>
      </c>
    </row>
    <row r="190" spans="1:6">
      <c r="A190" s="1">
        <v>45847</v>
      </c>
      <c r="B190">
        <v>190</v>
      </c>
      <c r="C190">
        <f t="shared" si="6"/>
        <v>-165</v>
      </c>
      <c r="D190">
        <f t="shared" si="7"/>
        <v>-0.45205479452054792</v>
      </c>
      <c r="E190" s="12">
        <v>0.609375</v>
      </c>
      <c r="F190" s="13">
        <f t="shared" si="8"/>
        <v>7.921875</v>
      </c>
    </row>
    <row r="191" spans="1:6">
      <c r="A191" s="1">
        <v>45848</v>
      </c>
      <c r="B191">
        <v>191</v>
      </c>
      <c r="C191">
        <f t="shared" si="6"/>
        <v>-164</v>
      </c>
      <c r="D191">
        <f t="shared" si="7"/>
        <v>-0.44931506849315067</v>
      </c>
      <c r="E191" s="12">
        <v>0.6083984375</v>
      </c>
      <c r="F191" s="13">
        <f t="shared" si="8"/>
        <v>7.9091796875</v>
      </c>
    </row>
    <row r="192" spans="1:6">
      <c r="A192" s="1">
        <v>45849</v>
      </c>
      <c r="B192">
        <v>192</v>
      </c>
      <c r="C192">
        <f t="shared" si="6"/>
        <v>-163</v>
      </c>
      <c r="D192">
        <f t="shared" si="7"/>
        <v>-0.44657534246575342</v>
      </c>
      <c r="E192" s="12">
        <v>0.60791015625</v>
      </c>
      <c r="F192" s="13">
        <f t="shared" si="8"/>
        <v>7.90283203125</v>
      </c>
    </row>
    <row r="193" spans="1:6">
      <c r="A193" s="1">
        <v>45850</v>
      </c>
      <c r="B193">
        <v>193</v>
      </c>
      <c r="C193">
        <f t="shared" si="6"/>
        <v>-162</v>
      </c>
      <c r="D193">
        <f t="shared" si="7"/>
        <v>-0.44383561643835617</v>
      </c>
      <c r="E193" s="12">
        <v>0.60693359375</v>
      </c>
      <c r="F193" s="13">
        <f t="shared" si="8"/>
        <v>7.89013671875</v>
      </c>
    </row>
    <row r="194" spans="1:6">
      <c r="A194" s="1">
        <v>45851</v>
      </c>
      <c r="B194">
        <v>194</v>
      </c>
      <c r="C194">
        <f t="shared" ref="C194:C257" si="9">B194-355</f>
        <v>-161</v>
      </c>
      <c r="D194">
        <f t="shared" ref="D194:D257" si="10">C194/365</f>
        <v>-0.44109589041095892</v>
      </c>
      <c r="E194" s="12">
        <v>0.6064453125</v>
      </c>
      <c r="F194" s="13">
        <f t="shared" ref="F194:F257" si="11">E194*13</f>
        <v>7.8837890625</v>
      </c>
    </row>
    <row r="195" spans="1:6">
      <c r="A195" s="1">
        <v>45852</v>
      </c>
      <c r="B195">
        <v>195</v>
      </c>
      <c r="C195">
        <f t="shared" si="9"/>
        <v>-160</v>
      </c>
      <c r="D195">
        <f t="shared" si="10"/>
        <v>-0.43835616438356162</v>
      </c>
      <c r="E195" s="12">
        <v>0.60546875</v>
      </c>
      <c r="F195" s="13">
        <f t="shared" si="11"/>
        <v>7.87109375</v>
      </c>
    </row>
    <row r="196" spans="1:6">
      <c r="A196" s="1">
        <v>45853</v>
      </c>
      <c r="B196">
        <v>196</v>
      </c>
      <c r="C196">
        <f t="shared" si="9"/>
        <v>-159</v>
      </c>
      <c r="D196">
        <f t="shared" si="10"/>
        <v>-0.43561643835616437</v>
      </c>
      <c r="E196" s="12">
        <v>0.6044921875</v>
      </c>
      <c r="F196" s="13">
        <f t="shared" si="11"/>
        <v>7.8583984375</v>
      </c>
    </row>
    <row r="197" spans="1:6">
      <c r="A197" s="1">
        <v>45854</v>
      </c>
      <c r="B197">
        <v>197</v>
      </c>
      <c r="C197">
        <f t="shared" si="9"/>
        <v>-158</v>
      </c>
      <c r="D197">
        <f t="shared" si="10"/>
        <v>-0.43287671232876712</v>
      </c>
      <c r="E197" s="12">
        <v>0.603515625</v>
      </c>
      <c r="F197" s="13">
        <f t="shared" si="11"/>
        <v>7.845703125</v>
      </c>
    </row>
    <row r="198" spans="1:6">
      <c r="A198" s="1">
        <v>45855</v>
      </c>
      <c r="B198">
        <v>198</v>
      </c>
      <c r="C198">
        <f t="shared" si="9"/>
        <v>-157</v>
      </c>
      <c r="D198">
        <f t="shared" si="10"/>
        <v>-0.43013698630136987</v>
      </c>
      <c r="E198" s="12">
        <v>0.60302734375</v>
      </c>
      <c r="F198" s="13">
        <f t="shared" si="11"/>
        <v>7.83935546875</v>
      </c>
    </row>
    <row r="199" spans="1:6">
      <c r="A199" s="1">
        <v>45856</v>
      </c>
      <c r="B199">
        <v>199</v>
      </c>
      <c r="C199">
        <f t="shared" si="9"/>
        <v>-156</v>
      </c>
      <c r="D199">
        <f t="shared" si="10"/>
        <v>-0.42739726027397262</v>
      </c>
      <c r="E199" s="12">
        <v>0.60205078125</v>
      </c>
      <c r="F199" s="13">
        <f t="shared" si="11"/>
        <v>7.82666015625</v>
      </c>
    </row>
    <row r="200" spans="1:6">
      <c r="A200" s="1">
        <v>45857</v>
      </c>
      <c r="B200">
        <v>200</v>
      </c>
      <c r="C200">
        <f t="shared" si="9"/>
        <v>-155</v>
      </c>
      <c r="D200">
        <f t="shared" si="10"/>
        <v>-0.42465753424657532</v>
      </c>
      <c r="E200" s="12">
        <v>0.6005859375</v>
      </c>
      <c r="F200" s="13">
        <f t="shared" si="11"/>
        <v>7.8076171875</v>
      </c>
    </row>
    <row r="201" spans="1:6">
      <c r="A201" s="1">
        <v>45858</v>
      </c>
      <c r="B201">
        <v>201</v>
      </c>
      <c r="C201">
        <f t="shared" si="9"/>
        <v>-154</v>
      </c>
      <c r="D201">
        <f t="shared" si="10"/>
        <v>-0.42191780821917807</v>
      </c>
      <c r="E201" s="12">
        <v>0.599609375</v>
      </c>
      <c r="F201" s="13">
        <f t="shared" si="11"/>
        <v>7.794921875</v>
      </c>
    </row>
    <row r="202" spans="1:6">
      <c r="A202" s="1">
        <v>45859</v>
      </c>
      <c r="B202">
        <v>202</v>
      </c>
      <c r="C202">
        <f t="shared" si="9"/>
        <v>-153</v>
      </c>
      <c r="D202">
        <f t="shared" si="10"/>
        <v>-0.41917808219178082</v>
      </c>
      <c r="E202" s="12">
        <v>0.5986328125</v>
      </c>
      <c r="F202" s="13">
        <f t="shared" si="11"/>
        <v>7.7822265625</v>
      </c>
    </row>
    <row r="203" spans="1:6">
      <c r="A203" s="1">
        <v>45860</v>
      </c>
      <c r="B203">
        <v>203</v>
      </c>
      <c r="C203">
        <f t="shared" si="9"/>
        <v>-152</v>
      </c>
      <c r="D203">
        <f t="shared" si="10"/>
        <v>-0.41643835616438357</v>
      </c>
      <c r="E203" s="12">
        <v>0.59765625</v>
      </c>
      <c r="F203" s="13">
        <f t="shared" si="11"/>
        <v>7.76953125</v>
      </c>
    </row>
    <row r="204" spans="1:6">
      <c r="A204" s="1">
        <v>45861</v>
      </c>
      <c r="B204">
        <v>204</v>
      </c>
      <c r="C204">
        <f t="shared" si="9"/>
        <v>-151</v>
      </c>
      <c r="D204">
        <f t="shared" si="10"/>
        <v>-0.41369863013698632</v>
      </c>
      <c r="E204" s="12">
        <v>0.5966796875</v>
      </c>
      <c r="F204" s="13">
        <f t="shared" si="11"/>
        <v>7.7568359375</v>
      </c>
    </row>
    <row r="205" spans="1:6">
      <c r="A205" s="1">
        <v>45862</v>
      </c>
      <c r="B205">
        <v>205</v>
      </c>
      <c r="C205">
        <f t="shared" si="9"/>
        <v>-150</v>
      </c>
      <c r="D205">
        <f t="shared" si="10"/>
        <v>-0.41095890410958902</v>
      </c>
      <c r="E205" s="12">
        <v>0.595703125</v>
      </c>
      <c r="F205" s="13">
        <f t="shared" si="11"/>
        <v>7.744140625</v>
      </c>
    </row>
    <row r="206" spans="1:6">
      <c r="A206" s="1">
        <v>45863</v>
      </c>
      <c r="B206">
        <v>206</v>
      </c>
      <c r="C206">
        <f t="shared" si="9"/>
        <v>-149</v>
      </c>
      <c r="D206">
        <f t="shared" si="10"/>
        <v>-0.40821917808219177</v>
      </c>
      <c r="E206" s="12">
        <v>0.59423828125</v>
      </c>
      <c r="F206" s="13">
        <f t="shared" si="11"/>
        <v>7.72509765625</v>
      </c>
    </row>
    <row r="207" spans="1:6">
      <c r="A207" s="1">
        <v>45864</v>
      </c>
      <c r="B207">
        <v>207</v>
      </c>
      <c r="C207">
        <f t="shared" si="9"/>
        <v>-148</v>
      </c>
      <c r="D207">
        <f t="shared" si="10"/>
        <v>-0.40547945205479452</v>
      </c>
      <c r="E207" s="12">
        <v>0.5927734375</v>
      </c>
      <c r="F207" s="13">
        <f t="shared" si="11"/>
        <v>7.7060546875</v>
      </c>
    </row>
    <row r="208" spans="1:6">
      <c r="A208" s="1">
        <v>45865</v>
      </c>
      <c r="B208">
        <v>208</v>
      </c>
      <c r="C208">
        <f t="shared" si="9"/>
        <v>-147</v>
      </c>
      <c r="D208">
        <f t="shared" si="10"/>
        <v>-0.40273972602739727</v>
      </c>
      <c r="E208" s="12">
        <v>0.591796875</v>
      </c>
      <c r="F208" s="13">
        <f t="shared" si="11"/>
        <v>7.693359375</v>
      </c>
    </row>
    <row r="209" spans="1:6">
      <c r="A209" s="1">
        <v>45866</v>
      </c>
      <c r="B209">
        <v>209</v>
      </c>
      <c r="C209">
        <f t="shared" si="9"/>
        <v>-146</v>
      </c>
      <c r="D209">
        <f t="shared" si="10"/>
        <v>-0.4</v>
      </c>
      <c r="E209" s="12">
        <v>0.5908203125</v>
      </c>
      <c r="F209" s="13">
        <f t="shared" si="11"/>
        <v>7.6806640625</v>
      </c>
    </row>
    <row r="210" spans="1:6">
      <c r="A210" s="1">
        <v>45867</v>
      </c>
      <c r="B210">
        <v>210</v>
      </c>
      <c r="C210">
        <f t="shared" si="9"/>
        <v>-145</v>
      </c>
      <c r="D210">
        <f t="shared" si="10"/>
        <v>-0.39726027397260272</v>
      </c>
      <c r="E210" s="12">
        <v>0.58935546875</v>
      </c>
      <c r="F210" s="13">
        <f t="shared" si="11"/>
        <v>7.66162109375</v>
      </c>
    </row>
    <row r="211" spans="1:6">
      <c r="A211" s="1">
        <v>45868</v>
      </c>
      <c r="B211">
        <v>211</v>
      </c>
      <c r="C211">
        <f t="shared" si="9"/>
        <v>-144</v>
      </c>
      <c r="D211">
        <f t="shared" si="10"/>
        <v>-0.39452054794520547</v>
      </c>
      <c r="E211" s="12">
        <v>0.587890625</v>
      </c>
      <c r="F211" s="13">
        <f t="shared" si="11"/>
        <v>7.642578125</v>
      </c>
    </row>
    <row r="212" spans="1:6">
      <c r="A212" s="1">
        <v>45869</v>
      </c>
      <c r="B212">
        <v>212</v>
      </c>
      <c r="C212">
        <f t="shared" si="9"/>
        <v>-143</v>
      </c>
      <c r="D212">
        <f t="shared" si="10"/>
        <v>-0.39178082191780822</v>
      </c>
      <c r="E212" s="12">
        <v>0.5869140625</v>
      </c>
      <c r="F212" s="13">
        <f t="shared" si="11"/>
        <v>7.6298828125</v>
      </c>
    </row>
    <row r="213" spans="1:6">
      <c r="A213" s="1">
        <v>45870</v>
      </c>
      <c r="B213">
        <v>213</v>
      </c>
      <c r="C213">
        <f t="shared" si="9"/>
        <v>-142</v>
      </c>
      <c r="D213">
        <f t="shared" si="10"/>
        <v>-0.38904109589041097</v>
      </c>
      <c r="E213" s="12">
        <v>0.58544921875</v>
      </c>
      <c r="F213" s="13">
        <f t="shared" si="11"/>
        <v>7.61083984375</v>
      </c>
    </row>
    <row r="214" spans="1:6">
      <c r="A214" s="1">
        <v>45871</v>
      </c>
      <c r="B214">
        <v>214</v>
      </c>
      <c r="C214">
        <f t="shared" si="9"/>
        <v>-141</v>
      </c>
      <c r="D214">
        <f t="shared" si="10"/>
        <v>-0.38630136986301372</v>
      </c>
      <c r="E214" s="12">
        <v>0.58447265625</v>
      </c>
      <c r="F214" s="13">
        <f t="shared" si="11"/>
        <v>7.59814453125</v>
      </c>
    </row>
    <row r="215" spans="1:6">
      <c r="A215" s="1">
        <v>45872</v>
      </c>
      <c r="B215">
        <v>215</v>
      </c>
      <c r="C215">
        <f t="shared" si="9"/>
        <v>-140</v>
      </c>
      <c r="D215">
        <f t="shared" si="10"/>
        <v>-0.38356164383561642</v>
      </c>
      <c r="E215" s="12">
        <v>0.58251953125</v>
      </c>
      <c r="F215" s="13">
        <f t="shared" si="11"/>
        <v>7.57275390625</v>
      </c>
    </row>
    <row r="216" spans="1:6">
      <c r="A216" s="1">
        <v>45873</v>
      </c>
      <c r="B216">
        <v>216</v>
      </c>
      <c r="C216">
        <f t="shared" si="9"/>
        <v>-139</v>
      </c>
      <c r="D216">
        <f t="shared" si="10"/>
        <v>-0.38082191780821917</v>
      </c>
      <c r="E216" s="12">
        <v>0.58154296875</v>
      </c>
      <c r="F216" s="13">
        <f t="shared" si="11"/>
        <v>7.56005859375</v>
      </c>
    </row>
    <row r="217" spans="1:6">
      <c r="A217" s="1">
        <v>45874</v>
      </c>
      <c r="B217">
        <v>217</v>
      </c>
      <c r="C217">
        <f t="shared" si="9"/>
        <v>-138</v>
      </c>
      <c r="D217">
        <f t="shared" si="10"/>
        <v>-0.37808219178082192</v>
      </c>
      <c r="E217" s="12">
        <v>0.580078125</v>
      </c>
      <c r="F217" s="13">
        <f t="shared" si="11"/>
        <v>7.541015625</v>
      </c>
    </row>
    <row r="218" spans="1:6">
      <c r="A218" s="8">
        <v>45875</v>
      </c>
      <c r="B218" s="9">
        <v>218</v>
      </c>
      <c r="C218" s="9">
        <f t="shared" si="9"/>
        <v>-137</v>
      </c>
      <c r="D218" s="9">
        <f t="shared" si="10"/>
        <v>-0.37534246575342467</v>
      </c>
      <c r="E218" s="12">
        <v>0.5791015625</v>
      </c>
      <c r="F218" s="13">
        <f t="shared" si="11"/>
        <v>7.5283203125</v>
      </c>
    </row>
    <row r="219" spans="1:6">
      <c r="A219" s="1">
        <v>45876</v>
      </c>
      <c r="B219">
        <v>219</v>
      </c>
      <c r="C219">
        <f t="shared" si="9"/>
        <v>-136</v>
      </c>
      <c r="D219">
        <f t="shared" si="10"/>
        <v>-0.37260273972602742</v>
      </c>
      <c r="E219" s="12">
        <v>0.5771484375</v>
      </c>
      <c r="F219" s="13">
        <f t="shared" si="11"/>
        <v>7.5029296875</v>
      </c>
    </row>
    <row r="220" spans="1:6">
      <c r="A220" s="1">
        <v>45877</v>
      </c>
      <c r="B220">
        <v>220</v>
      </c>
      <c r="C220">
        <f t="shared" si="9"/>
        <v>-135</v>
      </c>
      <c r="D220">
        <f t="shared" si="10"/>
        <v>-0.36986301369863012</v>
      </c>
      <c r="E220" s="12">
        <v>0.57568359375</v>
      </c>
      <c r="F220" s="13">
        <f t="shared" si="11"/>
        <v>7.48388671875</v>
      </c>
    </row>
    <row r="221" spans="1:6">
      <c r="A221" s="1">
        <v>45878</v>
      </c>
      <c r="B221">
        <v>221</v>
      </c>
      <c r="C221">
        <f t="shared" si="9"/>
        <v>-134</v>
      </c>
      <c r="D221">
        <f t="shared" si="10"/>
        <v>-0.36712328767123287</v>
      </c>
      <c r="E221" s="12">
        <v>0.57470703125</v>
      </c>
      <c r="F221" s="13">
        <f t="shared" si="11"/>
        <v>7.47119140625</v>
      </c>
    </row>
    <row r="222" spans="1:6">
      <c r="A222" s="1">
        <v>45879</v>
      </c>
      <c r="B222">
        <v>222</v>
      </c>
      <c r="C222">
        <f t="shared" si="9"/>
        <v>-133</v>
      </c>
      <c r="D222">
        <f t="shared" si="10"/>
        <v>-0.36438356164383562</v>
      </c>
      <c r="E222" s="12">
        <v>0.57275390625</v>
      </c>
      <c r="F222" s="13">
        <f t="shared" si="11"/>
        <v>7.44580078125</v>
      </c>
    </row>
    <row r="223" spans="1:6">
      <c r="A223" s="1">
        <v>45880</v>
      </c>
      <c r="B223">
        <v>223</v>
      </c>
      <c r="C223">
        <f t="shared" si="9"/>
        <v>-132</v>
      </c>
      <c r="D223">
        <f t="shared" si="10"/>
        <v>-0.36164383561643837</v>
      </c>
      <c r="E223" s="12">
        <v>0.5712890625</v>
      </c>
      <c r="F223" s="13">
        <f t="shared" si="11"/>
        <v>7.4267578125</v>
      </c>
    </row>
    <row r="224" spans="1:6">
      <c r="A224" s="1">
        <v>45881</v>
      </c>
      <c r="B224">
        <v>224</v>
      </c>
      <c r="C224">
        <f t="shared" si="9"/>
        <v>-131</v>
      </c>
      <c r="D224">
        <f t="shared" si="10"/>
        <v>-0.35890410958904112</v>
      </c>
      <c r="E224" s="12">
        <v>0.56982421875</v>
      </c>
      <c r="F224" s="13">
        <f t="shared" si="11"/>
        <v>7.40771484375</v>
      </c>
    </row>
    <row r="225" spans="1:6">
      <c r="A225" s="1">
        <v>45882</v>
      </c>
      <c r="B225">
        <v>225</v>
      </c>
      <c r="C225">
        <f t="shared" si="9"/>
        <v>-130</v>
      </c>
      <c r="D225">
        <f t="shared" si="10"/>
        <v>-0.35616438356164382</v>
      </c>
      <c r="E225" s="12">
        <v>0.56884765625</v>
      </c>
      <c r="F225" s="13">
        <f t="shared" si="11"/>
        <v>7.39501953125</v>
      </c>
    </row>
    <row r="226" spans="1:6">
      <c r="A226" s="1">
        <v>45883</v>
      </c>
      <c r="B226">
        <v>226</v>
      </c>
      <c r="C226">
        <f t="shared" si="9"/>
        <v>-129</v>
      </c>
      <c r="D226">
        <f t="shared" si="10"/>
        <v>-0.35342465753424657</v>
      </c>
      <c r="E226" s="12">
        <v>0.56689453125</v>
      </c>
      <c r="F226" s="13">
        <f t="shared" si="11"/>
        <v>7.36962890625</v>
      </c>
    </row>
    <row r="227" spans="1:6">
      <c r="A227" s="1">
        <v>45884</v>
      </c>
      <c r="B227">
        <v>227</v>
      </c>
      <c r="C227">
        <f t="shared" si="9"/>
        <v>-128</v>
      </c>
      <c r="D227">
        <f t="shared" si="10"/>
        <v>-0.35068493150684932</v>
      </c>
      <c r="E227" s="12">
        <v>0.5654296875</v>
      </c>
      <c r="F227" s="13">
        <f t="shared" si="11"/>
        <v>7.3505859375</v>
      </c>
    </row>
    <row r="228" spans="1:6">
      <c r="A228" s="1">
        <v>45885</v>
      </c>
      <c r="B228">
        <v>228</v>
      </c>
      <c r="C228">
        <f t="shared" si="9"/>
        <v>-127</v>
      </c>
      <c r="D228">
        <f t="shared" si="10"/>
        <v>-0.34794520547945207</v>
      </c>
      <c r="E228" s="12">
        <v>0.56396484375</v>
      </c>
      <c r="F228" s="13">
        <f t="shared" si="11"/>
        <v>7.33154296875</v>
      </c>
    </row>
    <row r="229" spans="1:6">
      <c r="A229" s="1">
        <v>45886</v>
      </c>
      <c r="B229">
        <v>229</v>
      </c>
      <c r="C229">
        <f t="shared" si="9"/>
        <v>-126</v>
      </c>
      <c r="D229">
        <f t="shared" si="10"/>
        <v>-0.34520547945205482</v>
      </c>
      <c r="E229" s="12">
        <v>0.56201171875</v>
      </c>
      <c r="F229" s="13">
        <f t="shared" si="11"/>
        <v>7.30615234375</v>
      </c>
    </row>
    <row r="230" spans="1:6">
      <c r="A230" s="1">
        <v>45887</v>
      </c>
      <c r="B230">
        <v>230</v>
      </c>
      <c r="C230">
        <f t="shared" si="9"/>
        <v>-125</v>
      </c>
      <c r="D230">
        <f t="shared" si="10"/>
        <v>-0.34246575342465752</v>
      </c>
      <c r="E230" s="12">
        <v>0.560546875</v>
      </c>
      <c r="F230" s="13">
        <f t="shared" si="11"/>
        <v>7.287109375</v>
      </c>
    </row>
    <row r="231" spans="1:6">
      <c r="A231" s="1">
        <v>45888</v>
      </c>
      <c r="B231">
        <v>231</v>
      </c>
      <c r="C231">
        <f t="shared" si="9"/>
        <v>-124</v>
      </c>
      <c r="D231">
        <f t="shared" si="10"/>
        <v>-0.33972602739726027</v>
      </c>
      <c r="E231" s="12">
        <v>0.55908203125</v>
      </c>
      <c r="F231" s="13">
        <f t="shared" si="11"/>
        <v>7.26806640625</v>
      </c>
    </row>
    <row r="232" spans="1:6">
      <c r="A232" s="1">
        <v>45889</v>
      </c>
      <c r="B232">
        <v>232</v>
      </c>
      <c r="C232">
        <f t="shared" si="9"/>
        <v>-123</v>
      </c>
      <c r="D232">
        <f t="shared" si="10"/>
        <v>-0.33698630136986302</v>
      </c>
      <c r="E232" s="12">
        <v>0.55712890625</v>
      </c>
      <c r="F232" s="13">
        <f t="shared" si="11"/>
        <v>7.24267578125</v>
      </c>
    </row>
    <row r="233" spans="1:6">
      <c r="A233" s="1">
        <v>45890</v>
      </c>
      <c r="B233">
        <v>233</v>
      </c>
      <c r="C233">
        <f t="shared" si="9"/>
        <v>-122</v>
      </c>
      <c r="D233">
        <f t="shared" si="10"/>
        <v>-0.33424657534246577</v>
      </c>
      <c r="E233" s="12">
        <v>0.5556640625</v>
      </c>
      <c r="F233" s="13">
        <f t="shared" si="11"/>
        <v>7.2236328125</v>
      </c>
    </row>
    <row r="234" spans="1:6">
      <c r="A234" s="1">
        <v>45891</v>
      </c>
      <c r="B234">
        <v>234</v>
      </c>
      <c r="C234">
        <f t="shared" si="9"/>
        <v>-121</v>
      </c>
      <c r="D234">
        <f t="shared" si="10"/>
        <v>-0.33150684931506852</v>
      </c>
      <c r="E234" s="12">
        <v>0.55419921875</v>
      </c>
      <c r="F234" s="13">
        <f t="shared" si="11"/>
        <v>7.20458984375</v>
      </c>
    </row>
    <row r="235" spans="1:6">
      <c r="A235" s="1">
        <v>45892</v>
      </c>
      <c r="B235">
        <v>235</v>
      </c>
      <c r="C235">
        <f t="shared" si="9"/>
        <v>-120</v>
      </c>
      <c r="D235">
        <f t="shared" si="10"/>
        <v>-0.32876712328767121</v>
      </c>
      <c r="E235" s="12">
        <v>0.552734375</v>
      </c>
      <c r="F235" s="13">
        <f t="shared" si="11"/>
        <v>7.185546875</v>
      </c>
    </row>
    <row r="236" spans="1:6">
      <c r="A236" s="1">
        <v>45893</v>
      </c>
      <c r="B236">
        <v>236</v>
      </c>
      <c r="C236">
        <f t="shared" si="9"/>
        <v>-119</v>
      </c>
      <c r="D236">
        <f t="shared" si="10"/>
        <v>-0.32602739726027397</v>
      </c>
      <c r="E236" s="12">
        <v>0.55078125</v>
      </c>
      <c r="F236" s="13">
        <f t="shared" si="11"/>
        <v>7.16015625</v>
      </c>
    </row>
    <row r="237" spans="1:6">
      <c r="A237" s="1">
        <v>45894</v>
      </c>
      <c r="B237">
        <v>237</v>
      </c>
      <c r="C237">
        <f t="shared" si="9"/>
        <v>-118</v>
      </c>
      <c r="D237">
        <f t="shared" si="10"/>
        <v>-0.32328767123287672</v>
      </c>
      <c r="E237" s="12">
        <v>0.54931640625</v>
      </c>
      <c r="F237" s="13">
        <f t="shared" si="11"/>
        <v>7.14111328125</v>
      </c>
    </row>
    <row r="238" spans="1:6">
      <c r="A238" s="1">
        <v>45895</v>
      </c>
      <c r="B238">
        <v>238</v>
      </c>
      <c r="C238">
        <f t="shared" si="9"/>
        <v>-117</v>
      </c>
      <c r="D238">
        <f t="shared" si="10"/>
        <v>-0.32054794520547947</v>
      </c>
      <c r="E238" s="12">
        <v>0.5478515625</v>
      </c>
      <c r="F238" s="13">
        <f t="shared" si="11"/>
        <v>7.1220703125</v>
      </c>
    </row>
    <row r="239" spans="1:6">
      <c r="A239" s="1">
        <v>45896</v>
      </c>
      <c r="B239">
        <v>239</v>
      </c>
      <c r="C239">
        <f t="shared" si="9"/>
        <v>-116</v>
      </c>
      <c r="D239">
        <f t="shared" si="10"/>
        <v>-0.31780821917808222</v>
      </c>
      <c r="E239" s="12">
        <v>0.5458984375</v>
      </c>
      <c r="F239" s="13">
        <f t="shared" si="11"/>
        <v>7.0966796875</v>
      </c>
    </row>
    <row r="240" spans="1:6">
      <c r="A240" s="1">
        <v>45897</v>
      </c>
      <c r="B240">
        <v>240</v>
      </c>
      <c r="C240">
        <f t="shared" si="9"/>
        <v>-115</v>
      </c>
      <c r="D240">
        <f t="shared" si="10"/>
        <v>-0.31506849315068491</v>
      </c>
      <c r="E240" s="12">
        <v>0.54443359375</v>
      </c>
      <c r="F240" s="13">
        <f t="shared" si="11"/>
        <v>7.07763671875</v>
      </c>
    </row>
    <row r="241" spans="1:6">
      <c r="A241" s="1">
        <v>45898</v>
      </c>
      <c r="B241">
        <v>241</v>
      </c>
      <c r="C241">
        <f t="shared" si="9"/>
        <v>-114</v>
      </c>
      <c r="D241">
        <f t="shared" si="10"/>
        <v>-0.31232876712328766</v>
      </c>
      <c r="E241" s="12">
        <v>0.54296875</v>
      </c>
      <c r="F241" s="13">
        <f t="shared" si="11"/>
        <v>7.05859375</v>
      </c>
    </row>
    <row r="242" spans="1:6">
      <c r="A242" s="1">
        <v>45899</v>
      </c>
      <c r="B242">
        <v>242</v>
      </c>
      <c r="C242">
        <f t="shared" si="9"/>
        <v>-113</v>
      </c>
      <c r="D242">
        <f t="shared" si="10"/>
        <v>-0.30958904109589042</v>
      </c>
      <c r="E242" s="12">
        <v>0.54150390625</v>
      </c>
      <c r="F242" s="13">
        <f t="shared" si="11"/>
        <v>7.03955078125</v>
      </c>
    </row>
    <row r="243" spans="1:6">
      <c r="A243" s="1">
        <v>45900</v>
      </c>
      <c r="B243">
        <v>243</v>
      </c>
      <c r="C243">
        <f t="shared" si="9"/>
        <v>-112</v>
      </c>
      <c r="D243">
        <f t="shared" si="10"/>
        <v>-0.30684931506849317</v>
      </c>
      <c r="E243" s="12">
        <v>0.5390625</v>
      </c>
      <c r="F243" s="13">
        <f t="shared" si="11"/>
        <v>7.0078125</v>
      </c>
    </row>
    <row r="244" spans="1:6">
      <c r="A244" s="1">
        <v>45901</v>
      </c>
      <c r="B244">
        <v>244</v>
      </c>
      <c r="C244">
        <f t="shared" si="9"/>
        <v>-111</v>
      </c>
      <c r="D244">
        <f t="shared" si="10"/>
        <v>-0.30410958904109592</v>
      </c>
      <c r="E244" s="12">
        <v>0.53759765625</v>
      </c>
      <c r="F244" s="13">
        <f t="shared" si="11"/>
        <v>6.98876953125</v>
      </c>
    </row>
    <row r="245" spans="1:6">
      <c r="A245" s="1">
        <v>45902</v>
      </c>
      <c r="B245">
        <v>245</v>
      </c>
      <c r="C245">
        <f t="shared" si="9"/>
        <v>-110</v>
      </c>
      <c r="D245">
        <f t="shared" si="10"/>
        <v>-0.30136986301369861</v>
      </c>
      <c r="E245" s="12">
        <v>0.5361328125</v>
      </c>
      <c r="F245" s="13">
        <f t="shared" si="11"/>
        <v>6.9697265625</v>
      </c>
    </row>
    <row r="246" spans="1:6">
      <c r="A246" s="1">
        <v>45903</v>
      </c>
      <c r="B246">
        <v>246</v>
      </c>
      <c r="C246">
        <f t="shared" si="9"/>
        <v>-109</v>
      </c>
      <c r="D246">
        <f t="shared" si="10"/>
        <v>-0.29863013698630136</v>
      </c>
      <c r="E246" s="12">
        <v>0.5341796875</v>
      </c>
      <c r="F246" s="13">
        <f t="shared" si="11"/>
        <v>6.9443359375</v>
      </c>
    </row>
    <row r="247" spans="1:6">
      <c r="A247" s="1">
        <v>45904</v>
      </c>
      <c r="B247">
        <v>247</v>
      </c>
      <c r="C247">
        <f t="shared" si="9"/>
        <v>-108</v>
      </c>
      <c r="D247">
        <f t="shared" si="10"/>
        <v>-0.29589041095890412</v>
      </c>
      <c r="E247" s="12">
        <v>0.53271484375</v>
      </c>
      <c r="F247" s="13">
        <f t="shared" si="11"/>
        <v>6.92529296875</v>
      </c>
    </row>
    <row r="248" spans="1:6">
      <c r="A248" s="1">
        <v>45905</v>
      </c>
      <c r="B248">
        <v>248</v>
      </c>
      <c r="C248">
        <f t="shared" si="9"/>
        <v>-107</v>
      </c>
      <c r="D248">
        <f t="shared" si="10"/>
        <v>-0.29315068493150687</v>
      </c>
      <c r="E248" s="12">
        <v>0.53076171875</v>
      </c>
      <c r="F248" s="13">
        <f t="shared" si="11"/>
        <v>6.89990234375</v>
      </c>
    </row>
    <row r="249" spans="1:6">
      <c r="A249" s="1">
        <v>45906</v>
      </c>
      <c r="B249">
        <v>249</v>
      </c>
      <c r="C249">
        <f t="shared" si="9"/>
        <v>-106</v>
      </c>
      <c r="D249">
        <f t="shared" si="10"/>
        <v>-0.29041095890410956</v>
      </c>
      <c r="E249" s="12">
        <v>0.52880859375</v>
      </c>
      <c r="F249" s="13">
        <f t="shared" si="11"/>
        <v>6.87451171875</v>
      </c>
    </row>
    <row r="250" spans="1:6">
      <c r="A250" s="1">
        <v>45907</v>
      </c>
      <c r="B250">
        <v>250</v>
      </c>
      <c r="C250">
        <f t="shared" si="9"/>
        <v>-105</v>
      </c>
      <c r="D250">
        <f t="shared" si="10"/>
        <v>-0.28767123287671231</v>
      </c>
      <c r="E250" s="12">
        <v>0.52734375</v>
      </c>
      <c r="F250" s="13">
        <f t="shared" si="11"/>
        <v>6.85546875</v>
      </c>
    </row>
    <row r="251" spans="1:6">
      <c r="A251" s="1">
        <v>45908</v>
      </c>
      <c r="B251">
        <v>251</v>
      </c>
      <c r="C251">
        <f t="shared" si="9"/>
        <v>-104</v>
      </c>
      <c r="D251">
        <f t="shared" si="10"/>
        <v>-0.28493150684931506</v>
      </c>
      <c r="E251" s="12">
        <v>0.52587890625</v>
      </c>
      <c r="F251" s="13">
        <f t="shared" si="11"/>
        <v>6.83642578125</v>
      </c>
    </row>
    <row r="252" spans="1:6">
      <c r="A252" s="1">
        <v>45909</v>
      </c>
      <c r="B252">
        <v>252</v>
      </c>
      <c r="C252">
        <f t="shared" si="9"/>
        <v>-103</v>
      </c>
      <c r="D252">
        <f t="shared" si="10"/>
        <v>-0.28219178082191781</v>
      </c>
      <c r="E252" s="12">
        <v>0.52392578125</v>
      </c>
      <c r="F252" s="13">
        <f t="shared" si="11"/>
        <v>6.81103515625</v>
      </c>
    </row>
    <row r="253" spans="1:6">
      <c r="A253" s="1">
        <v>45910</v>
      </c>
      <c r="B253">
        <v>253</v>
      </c>
      <c r="C253">
        <f t="shared" si="9"/>
        <v>-102</v>
      </c>
      <c r="D253">
        <f t="shared" si="10"/>
        <v>-0.27945205479452057</v>
      </c>
      <c r="E253" s="12">
        <v>0.52197265625</v>
      </c>
      <c r="F253" s="13">
        <f t="shared" si="11"/>
        <v>6.78564453125</v>
      </c>
    </row>
    <row r="254" spans="1:6">
      <c r="A254" s="1">
        <v>45911</v>
      </c>
      <c r="B254">
        <v>254</v>
      </c>
      <c r="C254">
        <f t="shared" si="9"/>
        <v>-101</v>
      </c>
      <c r="D254">
        <f t="shared" si="10"/>
        <v>-0.27671232876712326</v>
      </c>
      <c r="E254" s="12">
        <v>0.5205078125</v>
      </c>
      <c r="F254" s="13">
        <f t="shared" si="11"/>
        <v>6.7666015625</v>
      </c>
    </row>
    <row r="255" spans="1:6">
      <c r="A255" s="1">
        <v>45912</v>
      </c>
      <c r="B255">
        <v>255</v>
      </c>
      <c r="C255">
        <f t="shared" si="9"/>
        <v>-100</v>
      </c>
      <c r="D255">
        <f t="shared" si="10"/>
        <v>-0.27397260273972601</v>
      </c>
      <c r="E255" s="12">
        <v>0.5185546875</v>
      </c>
      <c r="F255" s="13">
        <f t="shared" si="11"/>
        <v>6.7412109375</v>
      </c>
    </row>
    <row r="256" spans="1:6">
      <c r="A256" s="1">
        <v>45913</v>
      </c>
      <c r="B256">
        <v>256</v>
      </c>
      <c r="C256">
        <f t="shared" si="9"/>
        <v>-99</v>
      </c>
      <c r="D256">
        <f t="shared" si="10"/>
        <v>-0.27123287671232876</v>
      </c>
      <c r="E256" s="12">
        <v>0.5166015625</v>
      </c>
      <c r="F256" s="13">
        <f t="shared" si="11"/>
        <v>6.7158203125</v>
      </c>
    </row>
    <row r="257" spans="1:8">
      <c r="A257" s="1">
        <v>45914</v>
      </c>
      <c r="B257">
        <v>257</v>
      </c>
      <c r="C257">
        <f t="shared" si="9"/>
        <v>-98</v>
      </c>
      <c r="D257">
        <f t="shared" si="10"/>
        <v>-0.26849315068493151</v>
      </c>
      <c r="E257" s="12">
        <v>0.51513671875</v>
      </c>
      <c r="F257" s="13">
        <f t="shared" si="11"/>
        <v>6.69677734375</v>
      </c>
    </row>
    <row r="258" spans="1:8">
      <c r="A258" s="1">
        <v>45915</v>
      </c>
      <c r="B258">
        <v>258</v>
      </c>
      <c r="C258">
        <f t="shared" ref="C258:C321" si="12">B258-355</f>
        <v>-97</v>
      </c>
      <c r="D258">
        <f t="shared" ref="D258:D321" si="13">C258/365</f>
        <v>-0.26575342465753427</v>
      </c>
      <c r="E258" s="12">
        <v>0.513671875</v>
      </c>
      <c r="F258" s="13">
        <f t="shared" ref="F258:F321" si="14">E258*13</f>
        <v>6.677734375</v>
      </c>
    </row>
    <row r="259" spans="1:8">
      <c r="A259" s="1">
        <v>45916</v>
      </c>
      <c r="B259">
        <v>259</v>
      </c>
      <c r="C259">
        <f t="shared" si="12"/>
        <v>-96</v>
      </c>
      <c r="D259">
        <f t="shared" si="13"/>
        <v>-0.26301369863013696</v>
      </c>
      <c r="E259" s="12">
        <v>0.51171875</v>
      </c>
      <c r="F259" s="13">
        <f t="shared" si="14"/>
        <v>6.65234375</v>
      </c>
    </row>
    <row r="260" spans="1:8">
      <c r="A260" s="1">
        <v>45917</v>
      </c>
      <c r="B260">
        <v>260</v>
      </c>
      <c r="C260">
        <f t="shared" si="12"/>
        <v>-95</v>
      </c>
      <c r="D260">
        <f t="shared" si="13"/>
        <v>-0.26027397260273971</v>
      </c>
      <c r="E260" s="12">
        <v>0.509765625</v>
      </c>
      <c r="F260" s="13">
        <f t="shared" si="14"/>
        <v>6.626953125</v>
      </c>
    </row>
    <row r="261" spans="1:8">
      <c r="A261" s="1">
        <v>45918</v>
      </c>
      <c r="B261">
        <v>261</v>
      </c>
      <c r="C261">
        <f t="shared" si="12"/>
        <v>-94</v>
      </c>
      <c r="D261">
        <f t="shared" si="13"/>
        <v>-0.25753424657534246</v>
      </c>
      <c r="E261" s="12">
        <v>0.50830078125</v>
      </c>
      <c r="F261" s="13">
        <f t="shared" si="14"/>
        <v>6.60791015625</v>
      </c>
    </row>
    <row r="262" spans="1:8">
      <c r="A262" s="1">
        <v>45919</v>
      </c>
      <c r="B262">
        <v>262</v>
      </c>
      <c r="C262">
        <f t="shared" si="12"/>
        <v>-93</v>
      </c>
      <c r="D262">
        <f t="shared" si="13"/>
        <v>-0.25479452054794521</v>
      </c>
      <c r="E262" s="12">
        <v>0.50634765625</v>
      </c>
      <c r="F262" s="13">
        <f t="shared" si="14"/>
        <v>6.58251953125</v>
      </c>
    </row>
    <row r="263" spans="1:8">
      <c r="A263" s="1">
        <v>45920</v>
      </c>
      <c r="B263">
        <v>263</v>
      </c>
      <c r="C263">
        <f t="shared" si="12"/>
        <v>-92</v>
      </c>
      <c r="D263">
        <f t="shared" si="13"/>
        <v>-0.25205479452054796</v>
      </c>
      <c r="E263" s="12">
        <v>0.50439453125</v>
      </c>
      <c r="F263" s="13">
        <f t="shared" si="14"/>
        <v>6.55712890625</v>
      </c>
    </row>
    <row r="264" spans="1:8">
      <c r="A264" s="6">
        <v>45921</v>
      </c>
      <c r="B264" s="7">
        <v>264</v>
      </c>
      <c r="C264" s="7">
        <f t="shared" si="12"/>
        <v>-91</v>
      </c>
      <c r="D264" s="7">
        <f t="shared" si="13"/>
        <v>-0.24931506849315069</v>
      </c>
      <c r="E264" s="12">
        <v>0.5029296875</v>
      </c>
      <c r="F264" s="13">
        <f t="shared" si="14"/>
        <v>6.5380859375</v>
      </c>
    </row>
    <row r="265" spans="1:8">
      <c r="A265" s="1">
        <v>45922</v>
      </c>
      <c r="B265">
        <v>265</v>
      </c>
      <c r="C265">
        <f t="shared" si="12"/>
        <v>-90</v>
      </c>
      <c r="D265">
        <f t="shared" si="13"/>
        <v>-0.24657534246575341</v>
      </c>
      <c r="E265" s="12">
        <v>0.5009765625</v>
      </c>
      <c r="F265" s="13">
        <f t="shared" si="14"/>
        <v>6.5126953125</v>
      </c>
    </row>
    <row r="266" spans="1:8">
      <c r="A266" s="1">
        <v>45923</v>
      </c>
      <c r="B266">
        <v>266</v>
      </c>
      <c r="C266">
        <f t="shared" si="12"/>
        <v>-89</v>
      </c>
      <c r="D266">
        <f t="shared" si="13"/>
        <v>-0.24383561643835616</v>
      </c>
      <c r="E266" s="12">
        <v>0.49951171875</v>
      </c>
      <c r="F266" s="13">
        <f t="shared" si="14"/>
        <v>6.49365234375</v>
      </c>
    </row>
    <row r="267" spans="1:8">
      <c r="A267" s="1">
        <v>45924</v>
      </c>
      <c r="B267">
        <v>267</v>
      </c>
      <c r="C267">
        <f t="shared" si="12"/>
        <v>-88</v>
      </c>
      <c r="D267">
        <f t="shared" si="13"/>
        <v>-0.24109589041095891</v>
      </c>
      <c r="E267" s="12">
        <v>0.49755859375</v>
      </c>
      <c r="F267" s="13">
        <f t="shared" si="14"/>
        <v>6.46826171875</v>
      </c>
    </row>
    <row r="268" spans="1:8">
      <c r="A268" s="1">
        <v>45925</v>
      </c>
      <c r="B268">
        <v>268</v>
      </c>
      <c r="C268">
        <f t="shared" si="12"/>
        <v>-87</v>
      </c>
      <c r="D268">
        <f t="shared" si="13"/>
        <v>-0.23835616438356164</v>
      </c>
      <c r="E268" s="12">
        <v>0.49560546875</v>
      </c>
      <c r="F268" s="13">
        <f t="shared" si="14"/>
        <v>6.44287109375</v>
      </c>
    </row>
    <row r="269" spans="1:8">
      <c r="A269" s="1">
        <v>45926</v>
      </c>
      <c r="B269">
        <v>269</v>
      </c>
      <c r="C269">
        <f t="shared" si="12"/>
        <v>-86</v>
      </c>
      <c r="D269">
        <f t="shared" si="13"/>
        <v>-0.23561643835616439</v>
      </c>
      <c r="E269" s="12">
        <v>0.494140625</v>
      </c>
      <c r="F269" s="13">
        <f t="shared" si="14"/>
        <v>6.423828125</v>
      </c>
      <c r="H269">
        <f>1/8</f>
        <v>0.125</v>
      </c>
    </row>
    <row r="270" spans="1:8">
      <c r="A270" s="1">
        <v>45927</v>
      </c>
      <c r="B270">
        <v>270</v>
      </c>
      <c r="C270">
        <f t="shared" si="12"/>
        <v>-85</v>
      </c>
      <c r="D270">
        <f t="shared" si="13"/>
        <v>-0.23287671232876711</v>
      </c>
      <c r="E270" s="12">
        <v>0.4921875</v>
      </c>
      <c r="F270" s="13">
        <f t="shared" si="14"/>
        <v>6.3984375</v>
      </c>
      <c r="H270">
        <f>3/8</f>
        <v>0.375</v>
      </c>
    </row>
    <row r="271" spans="1:8">
      <c r="A271" s="1">
        <v>45928</v>
      </c>
      <c r="B271">
        <v>271</v>
      </c>
      <c r="C271">
        <f t="shared" si="12"/>
        <v>-84</v>
      </c>
      <c r="D271">
        <f t="shared" si="13"/>
        <v>-0.23013698630136986</v>
      </c>
      <c r="E271" s="12">
        <v>0.49072265625</v>
      </c>
      <c r="F271" s="13">
        <f t="shared" si="14"/>
        <v>6.37939453125</v>
      </c>
      <c r="H271">
        <f>5/8</f>
        <v>0.625</v>
      </c>
    </row>
    <row r="272" spans="1:8">
      <c r="A272" s="1">
        <v>45929</v>
      </c>
      <c r="B272">
        <v>272</v>
      </c>
      <c r="C272">
        <f t="shared" si="12"/>
        <v>-83</v>
      </c>
      <c r="D272">
        <f t="shared" si="13"/>
        <v>-0.22739726027397261</v>
      </c>
      <c r="E272" s="12">
        <v>0.48876953125</v>
      </c>
      <c r="F272" s="13">
        <f t="shared" si="14"/>
        <v>6.35400390625</v>
      </c>
      <c r="H272">
        <f>7/8</f>
        <v>0.875</v>
      </c>
    </row>
    <row r="273" spans="1:6">
      <c r="A273" s="1">
        <v>45930</v>
      </c>
      <c r="B273">
        <v>273</v>
      </c>
      <c r="C273">
        <f t="shared" si="12"/>
        <v>-82</v>
      </c>
      <c r="D273">
        <f t="shared" si="13"/>
        <v>-0.22465753424657534</v>
      </c>
      <c r="E273" s="12">
        <v>0.48681640625</v>
      </c>
      <c r="F273" s="13">
        <f t="shared" si="14"/>
        <v>6.32861328125</v>
      </c>
    </row>
    <row r="274" spans="1:6">
      <c r="A274" s="1">
        <v>45931</v>
      </c>
      <c r="B274">
        <v>274</v>
      </c>
      <c r="C274">
        <f t="shared" si="12"/>
        <v>-81</v>
      </c>
      <c r="D274">
        <f t="shared" si="13"/>
        <v>-0.22191780821917809</v>
      </c>
      <c r="E274" s="12">
        <v>0.4853515625</v>
      </c>
      <c r="F274" s="13">
        <f t="shared" si="14"/>
        <v>6.3095703125</v>
      </c>
    </row>
    <row r="275" spans="1:6">
      <c r="A275" s="1">
        <v>45932</v>
      </c>
      <c r="B275">
        <v>275</v>
      </c>
      <c r="C275">
        <f t="shared" si="12"/>
        <v>-80</v>
      </c>
      <c r="D275">
        <f t="shared" si="13"/>
        <v>-0.21917808219178081</v>
      </c>
      <c r="E275" s="12">
        <v>0.48291015625</v>
      </c>
      <c r="F275" s="13">
        <f t="shared" si="14"/>
        <v>6.27783203125</v>
      </c>
    </row>
    <row r="276" spans="1:6">
      <c r="A276" s="1">
        <v>45933</v>
      </c>
      <c r="B276">
        <v>276</v>
      </c>
      <c r="C276">
        <f t="shared" si="12"/>
        <v>-79</v>
      </c>
      <c r="D276">
        <f t="shared" si="13"/>
        <v>-0.21643835616438356</v>
      </c>
      <c r="E276" s="12">
        <v>0.4814453125</v>
      </c>
      <c r="F276" s="13">
        <f t="shared" si="14"/>
        <v>6.2587890625</v>
      </c>
    </row>
    <row r="277" spans="1:6">
      <c r="A277" s="1">
        <v>45934</v>
      </c>
      <c r="B277">
        <v>277</v>
      </c>
      <c r="C277">
        <f t="shared" si="12"/>
        <v>-78</v>
      </c>
      <c r="D277">
        <f t="shared" si="13"/>
        <v>-0.21369863013698631</v>
      </c>
      <c r="E277" s="12">
        <v>0.47998046875</v>
      </c>
      <c r="F277" s="13">
        <f t="shared" si="14"/>
        <v>6.23974609375</v>
      </c>
    </row>
    <row r="278" spans="1:6">
      <c r="A278" s="1">
        <v>45935</v>
      </c>
      <c r="B278">
        <v>278</v>
      </c>
      <c r="C278">
        <f t="shared" si="12"/>
        <v>-77</v>
      </c>
      <c r="D278">
        <f t="shared" si="13"/>
        <v>-0.21095890410958903</v>
      </c>
      <c r="E278" s="12">
        <v>0.47802734375</v>
      </c>
      <c r="F278" s="13">
        <f t="shared" si="14"/>
        <v>6.21435546875</v>
      </c>
    </row>
    <row r="279" spans="1:6">
      <c r="A279" s="1">
        <v>45936</v>
      </c>
      <c r="B279">
        <v>279</v>
      </c>
      <c r="C279">
        <f t="shared" si="12"/>
        <v>-76</v>
      </c>
      <c r="D279">
        <f t="shared" si="13"/>
        <v>-0.20821917808219179</v>
      </c>
      <c r="E279" s="12">
        <v>0.47607421875</v>
      </c>
      <c r="F279" s="13">
        <f t="shared" si="14"/>
        <v>6.18896484375</v>
      </c>
    </row>
    <row r="280" spans="1:6">
      <c r="A280" s="1">
        <v>45937</v>
      </c>
      <c r="B280">
        <v>280</v>
      </c>
      <c r="C280">
        <f t="shared" si="12"/>
        <v>-75</v>
      </c>
      <c r="D280">
        <f t="shared" si="13"/>
        <v>-0.20547945205479451</v>
      </c>
      <c r="E280" s="12">
        <v>0.474609375</v>
      </c>
      <c r="F280" s="13">
        <f t="shared" si="14"/>
        <v>6.169921875</v>
      </c>
    </row>
    <row r="281" spans="1:6">
      <c r="A281" s="1">
        <v>45938</v>
      </c>
      <c r="B281">
        <v>281</v>
      </c>
      <c r="C281">
        <f t="shared" si="12"/>
        <v>-74</v>
      </c>
      <c r="D281">
        <f t="shared" si="13"/>
        <v>-0.20273972602739726</v>
      </c>
      <c r="E281" s="12">
        <v>0.47265625</v>
      </c>
      <c r="F281" s="13">
        <f t="shared" si="14"/>
        <v>6.14453125</v>
      </c>
    </row>
    <row r="282" spans="1:6">
      <c r="A282" s="1">
        <v>45939</v>
      </c>
      <c r="B282">
        <v>282</v>
      </c>
      <c r="C282">
        <f t="shared" si="12"/>
        <v>-73</v>
      </c>
      <c r="D282">
        <f t="shared" si="13"/>
        <v>-0.2</v>
      </c>
      <c r="E282" s="12">
        <v>0.47119140625</v>
      </c>
      <c r="F282" s="13">
        <f t="shared" si="14"/>
        <v>6.12548828125</v>
      </c>
    </row>
    <row r="283" spans="1:6">
      <c r="A283" s="1">
        <v>45940</v>
      </c>
      <c r="B283">
        <v>283</v>
      </c>
      <c r="C283">
        <f t="shared" si="12"/>
        <v>-72</v>
      </c>
      <c r="D283">
        <f t="shared" si="13"/>
        <v>-0.19726027397260273</v>
      </c>
      <c r="E283" s="12">
        <v>0.46923828125</v>
      </c>
      <c r="F283" s="13">
        <f t="shared" si="14"/>
        <v>6.10009765625</v>
      </c>
    </row>
    <row r="284" spans="1:6">
      <c r="A284" s="1">
        <v>45941</v>
      </c>
      <c r="B284">
        <v>284</v>
      </c>
      <c r="C284">
        <f t="shared" si="12"/>
        <v>-71</v>
      </c>
      <c r="D284">
        <f t="shared" si="13"/>
        <v>-0.19452054794520549</v>
      </c>
      <c r="E284" s="12">
        <v>0.4677734375</v>
      </c>
      <c r="F284" s="13">
        <f t="shared" si="14"/>
        <v>6.0810546875</v>
      </c>
    </row>
    <row r="285" spans="1:6">
      <c r="A285" s="1">
        <v>45942</v>
      </c>
      <c r="B285">
        <v>285</v>
      </c>
      <c r="C285">
        <f t="shared" si="12"/>
        <v>-70</v>
      </c>
      <c r="D285">
        <f t="shared" si="13"/>
        <v>-0.19178082191780821</v>
      </c>
      <c r="E285" s="12">
        <v>0.4658203125</v>
      </c>
      <c r="F285" s="13">
        <f t="shared" si="14"/>
        <v>6.0556640625</v>
      </c>
    </row>
    <row r="286" spans="1:6">
      <c r="A286" s="1">
        <v>45943</v>
      </c>
      <c r="B286">
        <v>286</v>
      </c>
      <c r="C286">
        <f t="shared" si="12"/>
        <v>-69</v>
      </c>
      <c r="D286">
        <f t="shared" si="13"/>
        <v>-0.18904109589041096</v>
      </c>
      <c r="E286" s="12">
        <v>0.4638671875</v>
      </c>
      <c r="F286" s="13">
        <f t="shared" si="14"/>
        <v>6.0302734375</v>
      </c>
    </row>
    <row r="287" spans="1:6">
      <c r="A287" s="1">
        <v>45944</v>
      </c>
      <c r="B287">
        <v>287</v>
      </c>
      <c r="C287">
        <f t="shared" si="12"/>
        <v>-68</v>
      </c>
      <c r="D287">
        <f t="shared" si="13"/>
        <v>-0.18630136986301371</v>
      </c>
      <c r="E287" s="12">
        <v>0.46240234375</v>
      </c>
      <c r="F287" s="13">
        <f t="shared" si="14"/>
        <v>6.01123046875</v>
      </c>
    </row>
    <row r="288" spans="1:6">
      <c r="A288" s="1">
        <v>45945</v>
      </c>
      <c r="B288">
        <v>288</v>
      </c>
      <c r="C288">
        <f t="shared" si="12"/>
        <v>-67</v>
      </c>
      <c r="D288">
        <f t="shared" si="13"/>
        <v>-0.18356164383561643</v>
      </c>
      <c r="E288" s="12">
        <v>0.46044921875</v>
      </c>
      <c r="F288" s="13">
        <f t="shared" si="14"/>
        <v>5.98583984375</v>
      </c>
    </row>
    <row r="289" spans="1:6">
      <c r="A289" s="1">
        <v>45946</v>
      </c>
      <c r="B289">
        <v>289</v>
      </c>
      <c r="C289">
        <f t="shared" si="12"/>
        <v>-66</v>
      </c>
      <c r="D289">
        <f t="shared" si="13"/>
        <v>-0.18082191780821918</v>
      </c>
      <c r="E289" s="12">
        <v>0.458984375</v>
      </c>
      <c r="F289" s="13">
        <f t="shared" si="14"/>
        <v>5.966796875</v>
      </c>
    </row>
    <row r="290" spans="1:6">
      <c r="A290" s="1">
        <v>45947</v>
      </c>
      <c r="B290">
        <v>290</v>
      </c>
      <c r="C290">
        <f t="shared" si="12"/>
        <v>-65</v>
      </c>
      <c r="D290">
        <f t="shared" si="13"/>
        <v>-0.17808219178082191</v>
      </c>
      <c r="E290" s="12">
        <v>0.45703125</v>
      </c>
      <c r="F290" s="13">
        <f t="shared" si="14"/>
        <v>5.94140625</v>
      </c>
    </row>
    <row r="291" spans="1:6">
      <c r="A291" s="1">
        <v>45948</v>
      </c>
      <c r="B291">
        <v>291</v>
      </c>
      <c r="C291">
        <f t="shared" si="12"/>
        <v>-64</v>
      </c>
      <c r="D291">
        <f t="shared" si="13"/>
        <v>-0.17534246575342466</v>
      </c>
      <c r="E291" s="12">
        <v>0.45556640625</v>
      </c>
      <c r="F291" s="13">
        <f t="shared" si="14"/>
        <v>5.92236328125</v>
      </c>
    </row>
    <row r="292" spans="1:6">
      <c r="A292" s="1">
        <v>45949</v>
      </c>
      <c r="B292">
        <v>292</v>
      </c>
      <c r="C292">
        <f t="shared" si="12"/>
        <v>-63</v>
      </c>
      <c r="D292">
        <f t="shared" si="13"/>
        <v>-0.17260273972602741</v>
      </c>
      <c r="E292" s="12">
        <v>0.45361328125</v>
      </c>
      <c r="F292" s="13">
        <f t="shared" si="14"/>
        <v>5.89697265625</v>
      </c>
    </row>
    <row r="293" spans="1:6">
      <c r="A293" s="1">
        <v>45950</v>
      </c>
      <c r="B293">
        <v>293</v>
      </c>
      <c r="C293">
        <f t="shared" si="12"/>
        <v>-62</v>
      </c>
      <c r="D293">
        <f t="shared" si="13"/>
        <v>-0.16986301369863013</v>
      </c>
      <c r="E293" s="12">
        <v>0.4521484375</v>
      </c>
      <c r="F293" s="13">
        <f t="shared" si="14"/>
        <v>5.8779296875</v>
      </c>
    </row>
    <row r="294" spans="1:6">
      <c r="A294" s="1">
        <v>45951</v>
      </c>
      <c r="B294">
        <v>294</v>
      </c>
      <c r="C294">
        <f t="shared" si="12"/>
        <v>-61</v>
      </c>
      <c r="D294">
        <f t="shared" si="13"/>
        <v>-0.16712328767123288</v>
      </c>
      <c r="E294" s="12">
        <v>0.4501953125</v>
      </c>
      <c r="F294" s="13">
        <f t="shared" si="14"/>
        <v>5.8525390625</v>
      </c>
    </row>
    <row r="295" spans="1:6">
      <c r="A295" s="1">
        <v>45952</v>
      </c>
      <c r="B295">
        <v>295</v>
      </c>
      <c r="C295">
        <f t="shared" si="12"/>
        <v>-60</v>
      </c>
      <c r="D295">
        <f t="shared" si="13"/>
        <v>-0.16438356164383561</v>
      </c>
      <c r="E295" s="12">
        <v>0.44873046875</v>
      </c>
      <c r="F295" s="13">
        <f t="shared" si="14"/>
        <v>5.83349609375</v>
      </c>
    </row>
    <row r="296" spans="1:6">
      <c r="A296" s="1">
        <v>45953</v>
      </c>
      <c r="B296">
        <v>296</v>
      </c>
      <c r="C296">
        <f t="shared" si="12"/>
        <v>-59</v>
      </c>
      <c r="D296">
        <f t="shared" si="13"/>
        <v>-0.16164383561643836</v>
      </c>
      <c r="E296" s="12">
        <v>0.44677734375</v>
      </c>
      <c r="F296" s="13">
        <f t="shared" si="14"/>
        <v>5.80810546875</v>
      </c>
    </row>
    <row r="297" spans="1:6">
      <c r="A297" s="1">
        <v>45954</v>
      </c>
      <c r="B297">
        <v>297</v>
      </c>
      <c r="C297">
        <f t="shared" si="12"/>
        <v>-58</v>
      </c>
      <c r="D297">
        <f t="shared" si="13"/>
        <v>-0.15890410958904111</v>
      </c>
      <c r="E297" s="12">
        <v>0.4453125</v>
      </c>
      <c r="F297" s="13">
        <f t="shared" si="14"/>
        <v>5.7890625</v>
      </c>
    </row>
    <row r="298" spans="1:6">
      <c r="A298" s="1">
        <v>45955</v>
      </c>
      <c r="B298">
        <v>298</v>
      </c>
      <c r="C298">
        <f t="shared" si="12"/>
        <v>-57</v>
      </c>
      <c r="D298">
        <f t="shared" si="13"/>
        <v>-0.15616438356164383</v>
      </c>
      <c r="E298" s="12">
        <v>0.443359375</v>
      </c>
      <c r="F298" s="13">
        <f t="shared" si="14"/>
        <v>5.763671875</v>
      </c>
    </row>
    <row r="299" spans="1:6">
      <c r="A299" s="1">
        <v>45956</v>
      </c>
      <c r="B299">
        <v>299</v>
      </c>
      <c r="C299">
        <f t="shared" si="12"/>
        <v>-56</v>
      </c>
      <c r="D299">
        <f t="shared" si="13"/>
        <v>-0.15342465753424658</v>
      </c>
      <c r="E299" s="12">
        <v>0.44189453125</v>
      </c>
      <c r="F299" s="13">
        <f t="shared" si="14"/>
        <v>5.74462890625</v>
      </c>
    </row>
    <row r="300" spans="1:6">
      <c r="A300" s="1">
        <v>45957</v>
      </c>
      <c r="B300">
        <v>300</v>
      </c>
      <c r="C300">
        <f t="shared" si="12"/>
        <v>-55</v>
      </c>
      <c r="D300">
        <f t="shared" si="13"/>
        <v>-0.15068493150684931</v>
      </c>
      <c r="E300" s="12">
        <v>0.43994140625</v>
      </c>
      <c r="F300" s="13">
        <f t="shared" si="14"/>
        <v>5.71923828125</v>
      </c>
    </row>
    <row r="301" spans="1:6">
      <c r="A301" s="1">
        <v>45958</v>
      </c>
      <c r="B301">
        <v>301</v>
      </c>
      <c r="C301">
        <f t="shared" si="12"/>
        <v>-54</v>
      </c>
      <c r="D301">
        <f t="shared" si="13"/>
        <v>-0.14794520547945206</v>
      </c>
      <c r="E301" s="12">
        <v>0.43896484375</v>
      </c>
      <c r="F301" s="13">
        <f t="shared" si="14"/>
        <v>5.70654296875</v>
      </c>
    </row>
    <row r="302" spans="1:6">
      <c r="A302" s="1">
        <v>45959</v>
      </c>
      <c r="B302">
        <v>302</v>
      </c>
      <c r="C302">
        <f t="shared" si="12"/>
        <v>-53</v>
      </c>
      <c r="D302">
        <f t="shared" si="13"/>
        <v>-0.14520547945205478</v>
      </c>
      <c r="E302" s="12">
        <v>0.43701171875</v>
      </c>
      <c r="F302" s="13">
        <f t="shared" si="14"/>
        <v>5.68115234375</v>
      </c>
    </row>
    <row r="303" spans="1:6">
      <c r="A303" s="1">
        <v>45960</v>
      </c>
      <c r="B303">
        <v>303</v>
      </c>
      <c r="C303">
        <f t="shared" si="12"/>
        <v>-52</v>
      </c>
      <c r="D303">
        <f t="shared" si="13"/>
        <v>-0.14246575342465753</v>
      </c>
      <c r="E303" s="12">
        <v>0.43505859375</v>
      </c>
      <c r="F303" s="13">
        <f t="shared" si="14"/>
        <v>5.65576171875</v>
      </c>
    </row>
    <row r="304" spans="1:6">
      <c r="A304" s="1">
        <v>45961</v>
      </c>
      <c r="B304">
        <v>304</v>
      </c>
      <c r="C304">
        <f t="shared" si="12"/>
        <v>-51</v>
      </c>
      <c r="D304">
        <f t="shared" si="13"/>
        <v>-0.13972602739726028</v>
      </c>
      <c r="E304" s="12">
        <v>0.43359375</v>
      </c>
      <c r="F304" s="13">
        <f t="shared" si="14"/>
        <v>5.63671875</v>
      </c>
    </row>
    <row r="305" spans="1:6">
      <c r="A305" s="1">
        <v>45962</v>
      </c>
      <c r="B305">
        <v>305</v>
      </c>
      <c r="C305">
        <f t="shared" si="12"/>
        <v>-50</v>
      </c>
      <c r="D305">
        <f t="shared" si="13"/>
        <v>-0.13698630136986301</v>
      </c>
      <c r="E305" s="12">
        <v>0.43212890625</v>
      </c>
      <c r="F305" s="13">
        <f t="shared" si="14"/>
        <v>5.61767578125</v>
      </c>
    </row>
    <row r="306" spans="1:6">
      <c r="A306" s="1">
        <v>45963</v>
      </c>
      <c r="B306">
        <v>306</v>
      </c>
      <c r="C306">
        <f t="shared" si="12"/>
        <v>-49</v>
      </c>
      <c r="D306">
        <f t="shared" si="13"/>
        <v>-0.13424657534246576</v>
      </c>
      <c r="E306" s="12">
        <v>0.4306640625</v>
      </c>
      <c r="F306" s="13">
        <f t="shared" si="14"/>
        <v>5.5986328125</v>
      </c>
    </row>
    <row r="307" spans="1:6">
      <c r="A307" s="1">
        <v>45964</v>
      </c>
      <c r="B307">
        <v>307</v>
      </c>
      <c r="C307">
        <f t="shared" si="12"/>
        <v>-48</v>
      </c>
      <c r="D307">
        <f t="shared" si="13"/>
        <v>-0.13150684931506848</v>
      </c>
      <c r="E307" s="12">
        <v>0.42919921875</v>
      </c>
      <c r="F307" s="13">
        <f t="shared" si="14"/>
        <v>5.57958984375</v>
      </c>
    </row>
    <row r="308" spans="1:6">
      <c r="A308" s="1">
        <v>45965</v>
      </c>
      <c r="B308">
        <v>308</v>
      </c>
      <c r="C308">
        <f t="shared" si="12"/>
        <v>-47</v>
      </c>
      <c r="D308">
        <f t="shared" si="13"/>
        <v>-0.12876712328767123</v>
      </c>
      <c r="E308" s="12">
        <v>0.427734375</v>
      </c>
      <c r="F308" s="13">
        <f t="shared" si="14"/>
        <v>5.560546875</v>
      </c>
    </row>
    <row r="309" spans="1:6">
      <c r="A309" s="8">
        <v>45966</v>
      </c>
      <c r="B309" s="9">
        <v>309</v>
      </c>
      <c r="C309" s="9">
        <f t="shared" si="12"/>
        <v>-46</v>
      </c>
      <c r="D309" s="9">
        <f t="shared" si="13"/>
        <v>-0.12602739726027398</v>
      </c>
      <c r="E309" s="12">
        <v>0.42578125</v>
      </c>
      <c r="F309" s="13">
        <f t="shared" si="14"/>
        <v>5.53515625</v>
      </c>
    </row>
    <row r="310" spans="1:6">
      <c r="A310" s="1">
        <v>45967</v>
      </c>
      <c r="B310">
        <v>310</v>
      </c>
      <c r="C310">
        <f t="shared" si="12"/>
        <v>-45</v>
      </c>
      <c r="D310">
        <f t="shared" si="13"/>
        <v>-0.12328767123287671</v>
      </c>
      <c r="E310" s="12">
        <v>0.42431640625</v>
      </c>
      <c r="F310" s="13">
        <f t="shared" si="14"/>
        <v>5.51611328125</v>
      </c>
    </row>
    <row r="311" spans="1:6">
      <c r="A311" s="1">
        <v>45968</v>
      </c>
      <c r="B311">
        <v>311</v>
      </c>
      <c r="C311">
        <f t="shared" si="12"/>
        <v>-44</v>
      </c>
      <c r="D311">
        <f t="shared" si="13"/>
        <v>-0.12054794520547946</v>
      </c>
      <c r="E311" s="12">
        <v>0.4228515625</v>
      </c>
      <c r="F311" s="13">
        <f t="shared" si="14"/>
        <v>5.4970703125</v>
      </c>
    </row>
    <row r="312" spans="1:6">
      <c r="A312" s="1">
        <v>45969</v>
      </c>
      <c r="B312">
        <v>312</v>
      </c>
      <c r="C312">
        <f t="shared" si="12"/>
        <v>-43</v>
      </c>
      <c r="D312">
        <f t="shared" si="13"/>
        <v>-0.11780821917808219</v>
      </c>
      <c r="E312" s="12">
        <v>0.42138671875</v>
      </c>
      <c r="F312" s="13">
        <f t="shared" si="14"/>
        <v>5.47802734375</v>
      </c>
    </row>
    <row r="313" spans="1:6">
      <c r="A313" s="1">
        <v>45970</v>
      </c>
      <c r="B313">
        <v>313</v>
      </c>
      <c r="C313">
        <f t="shared" si="12"/>
        <v>-42</v>
      </c>
      <c r="D313">
        <f t="shared" si="13"/>
        <v>-0.11506849315068493</v>
      </c>
      <c r="E313" s="12">
        <v>0.419921875</v>
      </c>
      <c r="F313" s="13">
        <f t="shared" si="14"/>
        <v>5.458984375</v>
      </c>
    </row>
    <row r="314" spans="1:6">
      <c r="A314" s="1">
        <v>45971</v>
      </c>
      <c r="B314">
        <v>314</v>
      </c>
      <c r="C314">
        <f t="shared" si="12"/>
        <v>-41</v>
      </c>
      <c r="D314">
        <f t="shared" si="13"/>
        <v>-0.11232876712328767</v>
      </c>
      <c r="E314" s="12">
        <v>0.41845703125</v>
      </c>
      <c r="F314" s="13">
        <f t="shared" si="14"/>
        <v>5.43994140625</v>
      </c>
    </row>
    <row r="315" spans="1:6">
      <c r="A315" s="1">
        <v>45972</v>
      </c>
      <c r="B315">
        <v>315</v>
      </c>
      <c r="C315">
        <f t="shared" si="12"/>
        <v>-40</v>
      </c>
      <c r="D315">
        <f t="shared" si="13"/>
        <v>-0.1095890410958904</v>
      </c>
      <c r="E315" s="12">
        <v>0.4169921875</v>
      </c>
      <c r="F315" s="13">
        <f t="shared" si="14"/>
        <v>5.4208984375</v>
      </c>
    </row>
    <row r="316" spans="1:6">
      <c r="A316" s="1">
        <v>45973</v>
      </c>
      <c r="B316">
        <v>316</v>
      </c>
      <c r="C316">
        <f t="shared" si="12"/>
        <v>-39</v>
      </c>
      <c r="D316">
        <f t="shared" si="13"/>
        <v>-0.10684931506849316</v>
      </c>
      <c r="E316" s="12">
        <v>0.416015625</v>
      </c>
      <c r="F316" s="13">
        <f t="shared" si="14"/>
        <v>5.408203125</v>
      </c>
    </row>
    <row r="317" spans="1:6">
      <c r="A317" s="1">
        <v>45974</v>
      </c>
      <c r="B317">
        <v>317</v>
      </c>
      <c r="C317">
        <f t="shared" si="12"/>
        <v>-38</v>
      </c>
      <c r="D317">
        <f t="shared" si="13"/>
        <v>-0.10410958904109589</v>
      </c>
      <c r="E317" s="12">
        <v>0.4140625</v>
      </c>
      <c r="F317" s="13">
        <f t="shared" si="14"/>
        <v>5.3828125</v>
      </c>
    </row>
    <row r="318" spans="1:6">
      <c r="A318" s="1">
        <v>45975</v>
      </c>
      <c r="B318">
        <v>318</v>
      </c>
      <c r="C318">
        <f t="shared" si="12"/>
        <v>-37</v>
      </c>
      <c r="D318">
        <f t="shared" si="13"/>
        <v>-0.10136986301369863</v>
      </c>
      <c r="E318" s="12">
        <v>0.41259765625</v>
      </c>
      <c r="F318" s="13">
        <f t="shared" si="14"/>
        <v>5.36376953125</v>
      </c>
    </row>
    <row r="319" spans="1:6">
      <c r="A319" s="1">
        <v>45976</v>
      </c>
      <c r="B319">
        <v>319</v>
      </c>
      <c r="C319">
        <f t="shared" si="12"/>
        <v>-36</v>
      </c>
      <c r="D319">
        <f t="shared" si="13"/>
        <v>-9.8630136986301367E-2</v>
      </c>
      <c r="E319" s="12">
        <v>0.41162109375</v>
      </c>
      <c r="F319" s="13">
        <f t="shared" si="14"/>
        <v>5.35107421875</v>
      </c>
    </row>
    <row r="320" spans="1:6">
      <c r="A320" s="1">
        <v>45977</v>
      </c>
      <c r="B320">
        <v>320</v>
      </c>
      <c r="C320">
        <f t="shared" si="12"/>
        <v>-35</v>
      </c>
      <c r="D320">
        <f t="shared" si="13"/>
        <v>-9.5890410958904104E-2</v>
      </c>
      <c r="E320" s="12">
        <v>0.41015625</v>
      </c>
      <c r="F320" s="13">
        <f t="shared" si="14"/>
        <v>5.33203125</v>
      </c>
    </row>
    <row r="321" spans="1:6">
      <c r="A321" s="1">
        <v>45978</v>
      </c>
      <c r="B321">
        <v>321</v>
      </c>
      <c r="C321">
        <f t="shared" si="12"/>
        <v>-34</v>
      </c>
      <c r="D321">
        <f t="shared" si="13"/>
        <v>-9.3150684931506855E-2</v>
      </c>
      <c r="E321" s="12">
        <v>0.4091796875</v>
      </c>
      <c r="F321" s="13">
        <f t="shared" si="14"/>
        <v>5.3193359375</v>
      </c>
    </row>
    <row r="322" spans="1:6">
      <c r="A322" s="1">
        <v>45979</v>
      </c>
      <c r="B322">
        <v>322</v>
      </c>
      <c r="C322">
        <f t="shared" ref="C322:C354" si="15">B322-355</f>
        <v>-33</v>
      </c>
      <c r="D322">
        <f t="shared" ref="D322:D365" si="16">C322/365</f>
        <v>-9.0410958904109592E-2</v>
      </c>
      <c r="E322" s="12">
        <v>0.40771484375</v>
      </c>
      <c r="F322" s="13">
        <f t="shared" ref="F322:F365" si="17">E322*13</f>
        <v>5.30029296875</v>
      </c>
    </row>
    <row r="323" spans="1:6">
      <c r="A323" s="1">
        <v>45980</v>
      </c>
      <c r="B323">
        <v>323</v>
      </c>
      <c r="C323">
        <f t="shared" si="15"/>
        <v>-32</v>
      </c>
      <c r="D323">
        <f t="shared" si="16"/>
        <v>-8.7671232876712329E-2</v>
      </c>
      <c r="E323" s="12">
        <v>0.40625</v>
      </c>
      <c r="F323" s="13">
        <f t="shared" si="17"/>
        <v>5.28125</v>
      </c>
    </row>
    <row r="324" spans="1:6">
      <c r="A324" s="1">
        <v>45981</v>
      </c>
      <c r="B324">
        <v>324</v>
      </c>
      <c r="C324">
        <f t="shared" si="15"/>
        <v>-31</v>
      </c>
      <c r="D324">
        <f t="shared" si="16"/>
        <v>-8.4931506849315067E-2</v>
      </c>
      <c r="E324" s="12">
        <v>0.4052734375</v>
      </c>
      <c r="F324" s="13">
        <f t="shared" si="17"/>
        <v>5.2685546875</v>
      </c>
    </row>
    <row r="325" spans="1:6">
      <c r="A325" s="1">
        <v>45982</v>
      </c>
      <c r="B325">
        <v>325</v>
      </c>
      <c r="C325">
        <f t="shared" si="15"/>
        <v>-30</v>
      </c>
      <c r="D325">
        <f t="shared" si="16"/>
        <v>-8.2191780821917804E-2</v>
      </c>
      <c r="E325" s="12">
        <v>0.40380859375</v>
      </c>
      <c r="F325" s="13">
        <f t="shared" si="17"/>
        <v>5.24951171875</v>
      </c>
    </row>
    <row r="326" spans="1:6">
      <c r="A326" s="1">
        <v>45983</v>
      </c>
      <c r="B326">
        <v>326</v>
      </c>
      <c r="C326">
        <f t="shared" si="15"/>
        <v>-29</v>
      </c>
      <c r="D326">
        <f t="shared" si="16"/>
        <v>-7.9452054794520555E-2</v>
      </c>
      <c r="E326" s="12">
        <v>0.40283203125</v>
      </c>
      <c r="F326" s="13">
        <f t="shared" si="17"/>
        <v>5.23681640625</v>
      </c>
    </row>
    <row r="327" spans="1:6">
      <c r="A327" s="1">
        <v>45984</v>
      </c>
      <c r="B327">
        <v>327</v>
      </c>
      <c r="C327">
        <f t="shared" si="15"/>
        <v>-28</v>
      </c>
      <c r="D327">
        <f t="shared" si="16"/>
        <v>-7.6712328767123292E-2</v>
      </c>
      <c r="E327" s="12">
        <v>0.40185546875</v>
      </c>
      <c r="F327" s="13">
        <f t="shared" si="17"/>
        <v>5.22412109375</v>
      </c>
    </row>
    <row r="328" spans="1:6">
      <c r="A328" s="1">
        <v>45985</v>
      </c>
      <c r="B328">
        <v>328</v>
      </c>
      <c r="C328">
        <f t="shared" si="15"/>
        <v>-27</v>
      </c>
      <c r="D328">
        <f t="shared" si="16"/>
        <v>-7.3972602739726029E-2</v>
      </c>
      <c r="E328" s="12">
        <v>0.40087890625</v>
      </c>
      <c r="F328" s="13">
        <f t="shared" si="17"/>
        <v>5.21142578125</v>
      </c>
    </row>
    <row r="329" spans="1:6">
      <c r="A329" s="1">
        <v>45986</v>
      </c>
      <c r="B329">
        <v>329</v>
      </c>
      <c r="C329">
        <f t="shared" si="15"/>
        <v>-26</v>
      </c>
      <c r="D329">
        <f t="shared" si="16"/>
        <v>-7.1232876712328766E-2</v>
      </c>
      <c r="E329" s="12">
        <v>0.3994140625</v>
      </c>
      <c r="F329" s="13">
        <f t="shared" si="17"/>
        <v>5.1923828125</v>
      </c>
    </row>
    <row r="330" spans="1:6">
      <c r="A330" s="1">
        <v>45987</v>
      </c>
      <c r="B330">
        <v>330</v>
      </c>
      <c r="C330">
        <f t="shared" si="15"/>
        <v>-25</v>
      </c>
      <c r="D330">
        <f t="shared" si="16"/>
        <v>-6.8493150684931503E-2</v>
      </c>
      <c r="E330" s="12">
        <v>0.39794921875</v>
      </c>
      <c r="F330" s="13">
        <f t="shared" si="17"/>
        <v>5.17333984375</v>
      </c>
    </row>
    <row r="331" spans="1:6">
      <c r="A331" s="1">
        <v>45988</v>
      </c>
      <c r="B331">
        <v>331</v>
      </c>
      <c r="C331">
        <f t="shared" si="15"/>
        <v>-24</v>
      </c>
      <c r="D331">
        <f t="shared" si="16"/>
        <v>-6.575342465753424E-2</v>
      </c>
      <c r="E331" s="12">
        <v>0.3974609375</v>
      </c>
      <c r="F331" s="13">
        <f t="shared" si="17"/>
        <v>5.1669921875</v>
      </c>
    </row>
    <row r="332" spans="1:6">
      <c r="A332" s="1">
        <v>45989</v>
      </c>
      <c r="B332">
        <v>332</v>
      </c>
      <c r="C332">
        <f t="shared" si="15"/>
        <v>-23</v>
      </c>
      <c r="D332">
        <f t="shared" si="16"/>
        <v>-6.3013698630136991E-2</v>
      </c>
      <c r="E332" s="12">
        <v>0.39599609375</v>
      </c>
      <c r="F332" s="13">
        <f t="shared" si="17"/>
        <v>5.14794921875</v>
      </c>
    </row>
    <row r="333" spans="1:6">
      <c r="A333" s="1">
        <v>45990</v>
      </c>
      <c r="B333">
        <v>333</v>
      </c>
      <c r="C333">
        <f t="shared" si="15"/>
        <v>-22</v>
      </c>
      <c r="D333">
        <f t="shared" si="16"/>
        <v>-6.0273972602739728E-2</v>
      </c>
      <c r="E333" s="12">
        <v>0.3955078125</v>
      </c>
      <c r="F333" s="13">
        <f t="shared" si="17"/>
        <v>5.1416015625</v>
      </c>
    </row>
    <row r="334" spans="1:6">
      <c r="A334" s="1">
        <v>45991</v>
      </c>
      <c r="B334">
        <v>334</v>
      </c>
      <c r="C334">
        <f t="shared" si="15"/>
        <v>-21</v>
      </c>
      <c r="D334">
        <f t="shared" si="16"/>
        <v>-5.7534246575342465E-2</v>
      </c>
      <c r="E334" s="12">
        <v>0.39453125</v>
      </c>
      <c r="F334" s="13">
        <f t="shared" si="17"/>
        <v>5.12890625</v>
      </c>
    </row>
    <row r="335" spans="1:6">
      <c r="A335" s="1">
        <v>45992</v>
      </c>
      <c r="B335">
        <v>335</v>
      </c>
      <c r="C335">
        <f t="shared" si="15"/>
        <v>-20</v>
      </c>
      <c r="D335">
        <f t="shared" si="16"/>
        <v>-5.4794520547945202E-2</v>
      </c>
      <c r="E335" s="12">
        <v>0.3935546875</v>
      </c>
      <c r="F335" s="13">
        <f t="shared" si="17"/>
        <v>5.1162109375</v>
      </c>
    </row>
    <row r="336" spans="1:6">
      <c r="A336" s="1">
        <v>45993</v>
      </c>
      <c r="B336">
        <v>336</v>
      </c>
      <c r="C336">
        <f t="shared" si="15"/>
        <v>-19</v>
      </c>
      <c r="D336">
        <f t="shared" si="16"/>
        <v>-5.2054794520547946E-2</v>
      </c>
      <c r="E336" s="12">
        <v>0.39306640625</v>
      </c>
      <c r="F336" s="13">
        <f t="shared" si="17"/>
        <v>5.10986328125</v>
      </c>
    </row>
    <row r="337" spans="1:6">
      <c r="A337" s="1">
        <v>45994</v>
      </c>
      <c r="B337">
        <v>337</v>
      </c>
      <c r="C337">
        <f t="shared" si="15"/>
        <v>-18</v>
      </c>
      <c r="D337">
        <f t="shared" si="16"/>
        <v>-4.9315068493150684E-2</v>
      </c>
      <c r="E337" s="12">
        <v>0.3916015625</v>
      </c>
      <c r="F337" s="13">
        <f t="shared" si="17"/>
        <v>5.0908203125</v>
      </c>
    </row>
    <row r="338" spans="1:6">
      <c r="A338" s="1">
        <v>45995</v>
      </c>
      <c r="B338">
        <v>338</v>
      </c>
      <c r="C338">
        <f t="shared" si="15"/>
        <v>-17</v>
      </c>
      <c r="D338">
        <f t="shared" si="16"/>
        <v>-4.6575342465753428E-2</v>
      </c>
      <c r="E338" s="12">
        <v>0.39111328125</v>
      </c>
      <c r="F338" s="13">
        <f t="shared" si="17"/>
        <v>5.08447265625</v>
      </c>
    </row>
    <row r="339" spans="1:6">
      <c r="A339" s="1">
        <v>45996</v>
      </c>
      <c r="B339">
        <v>339</v>
      </c>
      <c r="C339">
        <f t="shared" si="15"/>
        <v>-16</v>
      </c>
      <c r="D339">
        <f t="shared" si="16"/>
        <v>-4.3835616438356165E-2</v>
      </c>
      <c r="E339" s="12">
        <v>0.390625</v>
      </c>
      <c r="F339" s="13">
        <f t="shared" si="17"/>
        <v>5.078125</v>
      </c>
    </row>
    <row r="340" spans="1:6">
      <c r="A340" s="1">
        <v>45997</v>
      </c>
      <c r="B340">
        <v>340</v>
      </c>
      <c r="C340">
        <f t="shared" si="15"/>
        <v>-15</v>
      </c>
      <c r="D340">
        <f t="shared" si="16"/>
        <v>-4.1095890410958902E-2</v>
      </c>
      <c r="E340" s="12">
        <v>0.3896484375</v>
      </c>
      <c r="F340" s="13">
        <f t="shared" si="17"/>
        <v>5.0654296875</v>
      </c>
    </row>
    <row r="341" spans="1:6">
      <c r="A341" s="1">
        <v>45998</v>
      </c>
      <c r="B341">
        <v>341</v>
      </c>
      <c r="C341">
        <f t="shared" si="15"/>
        <v>-14</v>
      </c>
      <c r="D341">
        <f t="shared" si="16"/>
        <v>-3.8356164383561646E-2</v>
      </c>
      <c r="E341" s="12">
        <v>0.38916015625</v>
      </c>
      <c r="F341" s="13">
        <f t="shared" si="17"/>
        <v>5.05908203125</v>
      </c>
    </row>
    <row r="342" spans="1:6">
      <c r="A342" s="1">
        <v>45999</v>
      </c>
      <c r="B342">
        <v>342</v>
      </c>
      <c r="C342">
        <f t="shared" si="15"/>
        <v>-13</v>
      </c>
      <c r="D342">
        <f t="shared" si="16"/>
        <v>-3.5616438356164383E-2</v>
      </c>
      <c r="E342" s="12">
        <v>0.388671875</v>
      </c>
      <c r="F342" s="13">
        <f t="shared" si="17"/>
        <v>5.052734375</v>
      </c>
    </row>
    <row r="343" spans="1:6">
      <c r="A343" s="1">
        <v>46000</v>
      </c>
      <c r="B343">
        <v>343</v>
      </c>
      <c r="C343">
        <f t="shared" si="15"/>
        <v>-12</v>
      </c>
      <c r="D343">
        <f t="shared" si="16"/>
        <v>-3.287671232876712E-2</v>
      </c>
      <c r="E343" s="12">
        <v>0.3876953125</v>
      </c>
      <c r="F343" s="13">
        <f t="shared" si="17"/>
        <v>5.0400390625</v>
      </c>
    </row>
    <row r="344" spans="1:6">
      <c r="A344" s="1">
        <v>46001</v>
      </c>
      <c r="B344">
        <v>344</v>
      </c>
      <c r="C344">
        <f t="shared" si="15"/>
        <v>-11</v>
      </c>
      <c r="D344">
        <f t="shared" si="16"/>
        <v>-3.0136986301369864E-2</v>
      </c>
      <c r="E344" s="12">
        <v>0.38720703125</v>
      </c>
      <c r="F344" s="13">
        <f t="shared" si="17"/>
        <v>5.03369140625</v>
      </c>
    </row>
    <row r="345" spans="1:6">
      <c r="A345" s="1">
        <v>46002</v>
      </c>
      <c r="B345">
        <v>345</v>
      </c>
      <c r="C345">
        <f t="shared" si="15"/>
        <v>-10</v>
      </c>
      <c r="D345">
        <f t="shared" si="16"/>
        <v>-2.7397260273972601E-2</v>
      </c>
      <c r="E345" s="12">
        <v>0.38671875</v>
      </c>
      <c r="F345" s="13">
        <f t="shared" si="17"/>
        <v>5.02734375</v>
      </c>
    </row>
    <row r="346" spans="1:6">
      <c r="A346" s="1">
        <v>46003</v>
      </c>
      <c r="B346">
        <v>346</v>
      </c>
      <c r="C346">
        <f t="shared" si="15"/>
        <v>-9</v>
      </c>
      <c r="D346">
        <f t="shared" si="16"/>
        <v>-2.4657534246575342E-2</v>
      </c>
      <c r="E346" s="12">
        <v>0.38623046875</v>
      </c>
      <c r="F346" s="13">
        <f t="shared" si="17"/>
        <v>5.02099609375</v>
      </c>
    </row>
    <row r="347" spans="1:6">
      <c r="A347" s="1">
        <v>46004</v>
      </c>
      <c r="B347">
        <v>347</v>
      </c>
      <c r="C347">
        <f t="shared" si="15"/>
        <v>-8</v>
      </c>
      <c r="D347">
        <f t="shared" si="16"/>
        <v>-2.1917808219178082E-2</v>
      </c>
      <c r="E347" s="12">
        <v>0.38623046875</v>
      </c>
      <c r="F347" s="13">
        <f t="shared" si="17"/>
        <v>5.02099609375</v>
      </c>
    </row>
    <row r="348" spans="1:6">
      <c r="A348" s="1">
        <v>46005</v>
      </c>
      <c r="B348">
        <v>348</v>
      </c>
      <c r="C348">
        <f t="shared" si="15"/>
        <v>-7</v>
      </c>
      <c r="D348">
        <f t="shared" si="16"/>
        <v>-1.9178082191780823E-2</v>
      </c>
      <c r="E348" s="12">
        <v>0.3857421875</v>
      </c>
      <c r="F348" s="13">
        <f t="shared" si="17"/>
        <v>5.0146484375</v>
      </c>
    </row>
    <row r="349" spans="1:6">
      <c r="A349" s="1">
        <v>46006</v>
      </c>
      <c r="B349">
        <v>349</v>
      </c>
      <c r="C349">
        <f t="shared" si="15"/>
        <v>-6</v>
      </c>
      <c r="D349">
        <f t="shared" si="16"/>
        <v>-1.643835616438356E-2</v>
      </c>
      <c r="E349" s="12">
        <v>0.38525390625</v>
      </c>
      <c r="F349" s="13">
        <f t="shared" si="17"/>
        <v>5.00830078125</v>
      </c>
    </row>
    <row r="350" spans="1:6">
      <c r="A350" s="1">
        <v>46007</v>
      </c>
      <c r="B350">
        <v>350</v>
      </c>
      <c r="C350">
        <f t="shared" si="15"/>
        <v>-5</v>
      </c>
      <c r="D350">
        <f t="shared" si="16"/>
        <v>-1.3698630136986301E-2</v>
      </c>
      <c r="E350" s="12">
        <v>0.38525390625</v>
      </c>
      <c r="F350" s="13">
        <f t="shared" si="17"/>
        <v>5.00830078125</v>
      </c>
    </row>
    <row r="351" spans="1:6">
      <c r="A351" s="1">
        <v>46008</v>
      </c>
      <c r="B351">
        <v>351</v>
      </c>
      <c r="C351">
        <f t="shared" si="15"/>
        <v>-4</v>
      </c>
      <c r="D351">
        <f t="shared" si="16"/>
        <v>-1.0958904109589041E-2</v>
      </c>
      <c r="E351" s="12">
        <v>0.384765625</v>
      </c>
      <c r="F351" s="13">
        <f t="shared" si="17"/>
        <v>5.001953125</v>
      </c>
    </row>
    <row r="352" spans="1:6">
      <c r="A352" s="1">
        <v>46009</v>
      </c>
      <c r="B352">
        <v>352</v>
      </c>
      <c r="C352">
        <f t="shared" si="15"/>
        <v>-3</v>
      </c>
      <c r="D352">
        <f t="shared" si="16"/>
        <v>-8.21917808219178E-3</v>
      </c>
      <c r="E352" s="12">
        <v>0.384765625</v>
      </c>
      <c r="F352" s="13">
        <f t="shared" si="17"/>
        <v>5.001953125</v>
      </c>
    </row>
    <row r="353" spans="1:6">
      <c r="A353" s="1">
        <v>46010</v>
      </c>
      <c r="B353">
        <v>353</v>
      </c>
      <c r="C353">
        <f t="shared" si="15"/>
        <v>-2</v>
      </c>
      <c r="D353">
        <f t="shared" si="16"/>
        <v>-5.4794520547945206E-3</v>
      </c>
      <c r="E353" s="12">
        <v>0.38427734375</v>
      </c>
      <c r="F353" s="13">
        <f t="shared" si="17"/>
        <v>4.99560546875</v>
      </c>
    </row>
    <row r="354" spans="1:6">
      <c r="A354" s="1">
        <v>46011</v>
      </c>
      <c r="B354">
        <v>354</v>
      </c>
      <c r="C354">
        <f t="shared" si="15"/>
        <v>-1</v>
      </c>
      <c r="D354">
        <f t="shared" si="16"/>
        <v>-2.7397260273972603E-3</v>
      </c>
      <c r="E354" s="12">
        <v>0.38427734375</v>
      </c>
      <c r="F354" s="13">
        <f t="shared" si="17"/>
        <v>4.99560546875</v>
      </c>
    </row>
    <row r="355" spans="1:6">
      <c r="A355" s="2">
        <v>46012</v>
      </c>
      <c r="B355" s="3">
        <v>355</v>
      </c>
      <c r="C355" s="3">
        <f>B355-355</f>
        <v>0</v>
      </c>
      <c r="D355" s="3">
        <f t="shared" si="16"/>
        <v>0</v>
      </c>
      <c r="E355" s="12">
        <v>0.384765625</v>
      </c>
      <c r="F355" s="13">
        <f t="shared" si="17"/>
        <v>5.001953125</v>
      </c>
    </row>
    <row r="356" spans="1:6">
      <c r="A356" s="1">
        <v>46013</v>
      </c>
      <c r="B356">
        <v>356</v>
      </c>
      <c r="C356">
        <f t="shared" ref="C356:C365" si="18">B356-355</f>
        <v>1</v>
      </c>
      <c r="D356">
        <f t="shared" si="16"/>
        <v>2.7397260273972603E-3</v>
      </c>
      <c r="E356" s="12">
        <v>0.38427734375</v>
      </c>
      <c r="F356" s="13">
        <f t="shared" si="17"/>
        <v>4.99560546875</v>
      </c>
    </row>
    <row r="357" spans="1:6">
      <c r="A357" s="1">
        <v>46014</v>
      </c>
      <c r="B357">
        <v>357</v>
      </c>
      <c r="C357">
        <f t="shared" si="18"/>
        <v>2</v>
      </c>
      <c r="D357">
        <f t="shared" si="16"/>
        <v>5.4794520547945206E-3</v>
      </c>
      <c r="E357" s="12">
        <v>0.38427734375</v>
      </c>
      <c r="F357" s="13">
        <f t="shared" si="17"/>
        <v>4.99560546875</v>
      </c>
    </row>
    <row r="358" spans="1:6">
      <c r="A358" s="1">
        <v>46015</v>
      </c>
      <c r="B358">
        <v>358</v>
      </c>
      <c r="C358">
        <f t="shared" si="18"/>
        <v>3</v>
      </c>
      <c r="D358">
        <f t="shared" si="16"/>
        <v>8.21917808219178E-3</v>
      </c>
      <c r="E358" s="12">
        <v>0.384765625</v>
      </c>
      <c r="F358" s="13">
        <f t="shared" si="17"/>
        <v>5.001953125</v>
      </c>
    </row>
    <row r="359" spans="1:6">
      <c r="A359" s="1">
        <v>46016</v>
      </c>
      <c r="B359">
        <v>359</v>
      </c>
      <c r="C359">
        <f t="shared" si="18"/>
        <v>4</v>
      </c>
      <c r="D359">
        <f t="shared" si="16"/>
        <v>1.0958904109589041E-2</v>
      </c>
      <c r="E359" s="12">
        <v>0.384765625</v>
      </c>
      <c r="F359" s="13">
        <f t="shared" si="17"/>
        <v>5.001953125</v>
      </c>
    </row>
    <row r="360" spans="1:6">
      <c r="A360" s="1">
        <v>46017</v>
      </c>
      <c r="B360">
        <v>360</v>
      </c>
      <c r="C360">
        <f t="shared" si="18"/>
        <v>5</v>
      </c>
      <c r="D360">
        <f t="shared" si="16"/>
        <v>1.3698630136986301E-2</v>
      </c>
      <c r="E360" s="12">
        <v>0.384765625</v>
      </c>
      <c r="F360" s="13">
        <f t="shared" si="17"/>
        <v>5.001953125</v>
      </c>
    </row>
    <row r="361" spans="1:6">
      <c r="A361" s="1">
        <v>46018</v>
      </c>
      <c r="B361">
        <v>361</v>
      </c>
      <c r="C361">
        <f t="shared" si="18"/>
        <v>6</v>
      </c>
      <c r="D361">
        <f t="shared" si="16"/>
        <v>1.643835616438356E-2</v>
      </c>
      <c r="E361" s="12">
        <v>0.384765625</v>
      </c>
      <c r="F361" s="13">
        <f t="shared" si="17"/>
        <v>5.001953125</v>
      </c>
    </row>
    <row r="362" spans="1:6">
      <c r="A362" s="1">
        <v>46019</v>
      </c>
      <c r="B362">
        <v>362</v>
      </c>
      <c r="C362">
        <f t="shared" si="18"/>
        <v>7</v>
      </c>
      <c r="D362">
        <f t="shared" si="16"/>
        <v>1.9178082191780823E-2</v>
      </c>
      <c r="E362" s="12">
        <v>0.38525390625</v>
      </c>
      <c r="F362" s="13">
        <f t="shared" si="17"/>
        <v>5.00830078125</v>
      </c>
    </row>
    <row r="363" spans="1:6">
      <c r="A363" s="1">
        <v>46020</v>
      </c>
      <c r="B363">
        <v>363</v>
      </c>
      <c r="C363">
        <f t="shared" si="18"/>
        <v>8</v>
      </c>
      <c r="D363">
        <f t="shared" si="16"/>
        <v>2.1917808219178082E-2</v>
      </c>
      <c r="E363" s="12">
        <v>0.38525390625</v>
      </c>
      <c r="F363" s="13">
        <f t="shared" si="17"/>
        <v>5.00830078125</v>
      </c>
    </row>
    <row r="364" spans="1:6">
      <c r="A364" s="1">
        <v>46021</v>
      </c>
      <c r="B364">
        <v>364</v>
      </c>
      <c r="C364">
        <f t="shared" si="18"/>
        <v>9</v>
      </c>
      <c r="D364">
        <f t="shared" si="16"/>
        <v>2.4657534246575342E-2</v>
      </c>
      <c r="E364" s="12">
        <v>0.3857421875</v>
      </c>
      <c r="F364" s="13">
        <f t="shared" si="17"/>
        <v>5.0146484375</v>
      </c>
    </row>
    <row r="365" spans="1:6">
      <c r="A365" s="1">
        <v>46022</v>
      </c>
      <c r="B365">
        <v>365</v>
      </c>
      <c r="C365">
        <f t="shared" si="18"/>
        <v>10</v>
      </c>
      <c r="D365">
        <f t="shared" si="16"/>
        <v>2.7397260273972601E-2</v>
      </c>
      <c r="E365" s="12">
        <v>0.38623046875</v>
      </c>
      <c r="F365" s="13">
        <f t="shared" si="17"/>
        <v>5.02099609375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van Staveren</dc:creator>
  <cp:lastModifiedBy>Marie van Staveren</cp:lastModifiedBy>
  <dcterms:created xsi:type="dcterms:W3CDTF">2025-05-01T16:29:10Z</dcterms:created>
  <dcterms:modified xsi:type="dcterms:W3CDTF">2025-05-02T18:45:17Z</dcterms:modified>
</cp:coreProperties>
</file>